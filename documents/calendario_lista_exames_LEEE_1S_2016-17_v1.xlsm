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direcção leee\marcaçao testes\2016_17\s1\"/>
    </mc:Choice>
  </mc:AlternateContent>
  <bookViews>
    <workbookView xWindow="0" yWindow="630" windowWidth="12240" windowHeight="7110"/>
  </bookViews>
  <sheets>
    <sheet name="Calendário" sheetId="1" r:id="rId1"/>
    <sheet name="Testes-Exames" sheetId="3" r:id="rId2"/>
    <sheet name="estatuto" sheetId="7" r:id="rId3"/>
    <sheet name="docentes" sheetId="4" r:id="rId4"/>
  </sheets>
  <definedNames>
    <definedName name="_xlnm.Print_Area" localSheetId="0">Calendário!$B$1:$Y$116</definedName>
    <definedName name="_xlnm.Print_Area" localSheetId="2">estatuto!$A$1:$S$44</definedName>
    <definedName name="_xlnm.Print_Area" localSheetId="1">'Testes-Exames'!$B$1:$R$43</definedName>
  </definedNames>
  <calcPr calcId="152511"/>
</workbook>
</file>

<file path=xl/calcChain.xml><?xml version="1.0" encoding="utf-8"?>
<calcChain xmlns="http://schemas.openxmlformats.org/spreadsheetml/2006/main">
  <c r="V37" i="3" l="1"/>
  <c r="W37" i="3"/>
  <c r="X37" i="3"/>
  <c r="Y37" i="3"/>
  <c r="Z37" i="3"/>
  <c r="K37" i="3" s="1"/>
  <c r="AA37" i="3"/>
  <c r="AB37" i="3"/>
  <c r="O37" i="3" s="1"/>
  <c r="AC37" i="3"/>
  <c r="AD37" i="3"/>
  <c r="AE37" i="3"/>
  <c r="AF37" i="3"/>
  <c r="AG37" i="3"/>
  <c r="AH37" i="3"/>
  <c r="L37" i="3" s="1"/>
  <c r="AI37" i="3"/>
  <c r="AJ37" i="3"/>
  <c r="P37" i="3" s="1"/>
  <c r="AK37" i="3"/>
  <c r="D37" i="3" l="1"/>
  <c r="H37" i="3"/>
  <c r="G37" i="3"/>
  <c r="C37" i="3"/>
  <c r="AK43" i="3" l="1"/>
  <c r="AJ43" i="3"/>
  <c r="P43" i="3" s="1"/>
  <c r="AI43" i="3"/>
  <c r="AH43" i="3"/>
  <c r="L43" i="3" s="1"/>
  <c r="AG43" i="3"/>
  <c r="AF43" i="3"/>
  <c r="H43" i="3" s="1"/>
  <c r="AE43" i="3"/>
  <c r="AD43" i="3"/>
  <c r="D43" i="3" s="1"/>
  <c r="AC43" i="3"/>
  <c r="AB43" i="3"/>
  <c r="O43" i="3" s="1"/>
  <c r="AA43" i="3"/>
  <c r="Z43" i="3"/>
  <c r="K43" i="3" s="1"/>
  <c r="Y43" i="3"/>
  <c r="X43" i="3"/>
  <c r="G43" i="3" s="1"/>
  <c r="W43" i="3"/>
  <c r="V43" i="3"/>
  <c r="C43" i="3" s="1"/>
  <c r="Y13" i="7" l="1"/>
  <c r="Y14" i="7"/>
  <c r="Y15" i="7"/>
  <c r="Y16" i="7"/>
  <c r="Y17" i="7"/>
  <c r="Y18" i="7"/>
  <c r="Y20" i="7"/>
  <c r="Y21" i="7"/>
  <c r="Y22" i="7"/>
  <c r="Y23" i="7"/>
  <c r="Y24" i="7"/>
  <c r="Y25" i="7"/>
  <c r="Y26" i="7"/>
  <c r="Y27" i="7"/>
  <c r="Y28" i="7"/>
  <c r="Y29" i="7"/>
  <c r="Y31" i="7"/>
  <c r="Y32" i="7"/>
  <c r="Y33" i="7"/>
  <c r="Y34" i="7"/>
  <c r="Y35" i="7"/>
  <c r="Y36" i="7"/>
  <c r="Y37" i="7"/>
  <c r="Y38" i="7"/>
  <c r="Y39" i="7"/>
  <c r="Y40" i="7"/>
  <c r="Y41" i="7"/>
  <c r="Y42" i="7"/>
  <c r="Y48" i="7"/>
  <c r="Y49" i="7"/>
  <c r="Y50" i="7"/>
  <c r="Y51" i="7"/>
  <c r="X13" i="7"/>
  <c r="D13" i="7" s="1"/>
  <c r="X14" i="7"/>
  <c r="D14" i="7" s="1"/>
  <c r="X15" i="7"/>
  <c r="D15" i="7" s="1"/>
  <c r="X16" i="7"/>
  <c r="D16" i="7" s="1"/>
  <c r="X17" i="7"/>
  <c r="D17" i="7" s="1"/>
  <c r="X18" i="7"/>
  <c r="X20" i="7"/>
  <c r="D20" i="7" s="1"/>
  <c r="X21" i="7"/>
  <c r="D21" i="7" s="1"/>
  <c r="X22" i="7"/>
  <c r="D22" i="7" s="1"/>
  <c r="X23" i="7"/>
  <c r="D23" i="7" s="1"/>
  <c r="X24" i="7"/>
  <c r="D24" i="7" s="1"/>
  <c r="X25" i="7"/>
  <c r="D25" i="7" s="1"/>
  <c r="X26" i="7"/>
  <c r="D26" i="7" s="1"/>
  <c r="X27" i="7"/>
  <c r="D27" i="7" s="1"/>
  <c r="X28" i="7"/>
  <c r="D28" i="7" s="1"/>
  <c r="X29" i="7"/>
  <c r="D29" i="7" s="1"/>
  <c r="X31" i="7"/>
  <c r="D31" i="7" s="1"/>
  <c r="X32" i="7"/>
  <c r="D32" i="7" s="1"/>
  <c r="X33" i="7"/>
  <c r="D33" i="7" s="1"/>
  <c r="X34" i="7"/>
  <c r="D34" i="7" s="1"/>
  <c r="X35" i="7"/>
  <c r="D35" i="7" s="1"/>
  <c r="X36" i="7"/>
  <c r="D36" i="7" s="1"/>
  <c r="X37" i="7"/>
  <c r="D37" i="7" s="1"/>
  <c r="X38" i="7"/>
  <c r="D38" i="7" s="1"/>
  <c r="X39" i="7"/>
  <c r="D39" i="7" s="1"/>
  <c r="X40" i="7"/>
  <c r="D40" i="7" s="1"/>
  <c r="X41" i="7"/>
  <c r="D41" i="7" s="1"/>
  <c r="X42" i="7"/>
  <c r="D42" i="7" s="1"/>
  <c r="X48" i="7"/>
  <c r="X49" i="7"/>
  <c r="X50" i="7"/>
  <c r="X51" i="7"/>
  <c r="X12" i="7"/>
  <c r="D12" i="7" s="1"/>
  <c r="W13" i="7"/>
  <c r="W14" i="7"/>
  <c r="W15" i="7"/>
  <c r="W16" i="7"/>
  <c r="W17" i="7"/>
  <c r="W18" i="7"/>
  <c r="W20" i="7"/>
  <c r="W21" i="7"/>
  <c r="W22" i="7"/>
  <c r="W23" i="7"/>
  <c r="W24" i="7"/>
  <c r="W25" i="7"/>
  <c r="W26" i="7"/>
  <c r="W27" i="7"/>
  <c r="W28" i="7"/>
  <c r="W29" i="7"/>
  <c r="W31" i="7"/>
  <c r="W32" i="7"/>
  <c r="W33" i="7"/>
  <c r="W34" i="7"/>
  <c r="W35" i="7"/>
  <c r="W36" i="7"/>
  <c r="W37" i="7"/>
  <c r="W38" i="7"/>
  <c r="W39" i="7"/>
  <c r="W40" i="7"/>
  <c r="W41" i="7"/>
  <c r="W42" i="7"/>
  <c r="W48" i="7"/>
  <c r="W49" i="7"/>
  <c r="W50" i="7"/>
  <c r="W51" i="7"/>
  <c r="W12" i="7"/>
  <c r="V18" i="7" l="1"/>
  <c r="V27" i="7"/>
  <c r="V28" i="7"/>
  <c r="V29" i="7"/>
  <c r="Y12" i="7"/>
  <c r="L27" i="7"/>
  <c r="P36" i="7"/>
  <c r="P37" i="7"/>
  <c r="P38" i="7"/>
  <c r="P40" i="7"/>
  <c r="P41" i="7"/>
  <c r="P42" i="7"/>
  <c r="O12" i="7"/>
  <c r="H12" i="7"/>
  <c r="L12" i="7"/>
  <c r="O14" i="7"/>
  <c r="P14" i="7"/>
  <c r="H16" i="7"/>
  <c r="L16" i="7"/>
  <c r="P16" i="7"/>
  <c r="H17" i="7"/>
  <c r="L17" i="7"/>
  <c r="P17" i="7"/>
  <c r="D18" i="7"/>
  <c r="H18" i="7"/>
  <c r="O20" i="7"/>
  <c r="H20" i="7"/>
  <c r="P20" i="7"/>
  <c r="H21" i="7"/>
  <c r="P21" i="7"/>
  <c r="H22" i="7"/>
  <c r="L22" i="7"/>
  <c r="P23" i="7"/>
  <c r="H24" i="7"/>
  <c r="L24" i="7"/>
  <c r="P24" i="7"/>
  <c r="H26" i="7"/>
  <c r="L26" i="7"/>
  <c r="O27" i="7"/>
  <c r="O29" i="7"/>
  <c r="L31" i="7"/>
  <c r="O32" i="7"/>
  <c r="H32" i="7"/>
  <c r="P32" i="7"/>
  <c r="O34" i="7"/>
  <c r="H34" i="7"/>
  <c r="P34" i="7"/>
  <c r="H35" i="7"/>
  <c r="L35" i="7"/>
  <c r="P35" i="7"/>
  <c r="O36" i="7"/>
  <c r="H36" i="7"/>
  <c r="L36" i="7"/>
  <c r="O38" i="7"/>
  <c r="H38" i="7"/>
  <c r="H39" i="7"/>
  <c r="P39" i="7"/>
  <c r="O40" i="7"/>
  <c r="H40" i="7"/>
  <c r="L40" i="7"/>
  <c r="H41" i="7"/>
  <c r="L42" i="7"/>
  <c r="L18" i="7"/>
  <c r="P18" i="7"/>
  <c r="B132" i="1"/>
  <c r="B127" i="1"/>
  <c r="B122" i="1"/>
  <c r="B117" i="1"/>
  <c r="O18" i="7"/>
  <c r="K18" i="7"/>
  <c r="H42" i="7"/>
  <c r="O42" i="7"/>
  <c r="G42" i="7"/>
  <c r="K42" i="7"/>
  <c r="L41" i="7"/>
  <c r="O41" i="7"/>
  <c r="G41" i="7"/>
  <c r="K41" i="7"/>
  <c r="G40" i="7"/>
  <c r="K40" i="7"/>
  <c r="L39" i="7"/>
  <c r="O39" i="7"/>
  <c r="G39" i="7"/>
  <c r="K39" i="7"/>
  <c r="L38" i="7"/>
  <c r="G38" i="7"/>
  <c r="K38" i="7"/>
  <c r="L37" i="7"/>
  <c r="H37" i="7"/>
  <c r="O37" i="7"/>
  <c r="G37" i="7"/>
  <c r="K37" i="7"/>
  <c r="K36" i="7"/>
  <c r="O35" i="7"/>
  <c r="G35" i="7"/>
  <c r="K35" i="7"/>
  <c r="L34" i="7"/>
  <c r="G34" i="7"/>
  <c r="K34" i="7"/>
  <c r="P33" i="7"/>
  <c r="L33" i="7"/>
  <c r="H33" i="7"/>
  <c r="O33" i="7"/>
  <c r="G33" i="7"/>
  <c r="K33" i="7"/>
  <c r="L32" i="7"/>
  <c r="G32" i="7"/>
  <c r="K32" i="7"/>
  <c r="P31" i="7"/>
  <c r="H31" i="7"/>
  <c r="O31" i="7"/>
  <c r="G31" i="7"/>
  <c r="K31" i="7"/>
  <c r="G29" i="7"/>
  <c r="K29" i="7"/>
  <c r="H28" i="7"/>
  <c r="O28" i="7"/>
  <c r="K28" i="7"/>
  <c r="K27" i="7"/>
  <c r="P26" i="7"/>
  <c r="O26" i="7"/>
  <c r="G26" i="7"/>
  <c r="K26" i="7"/>
  <c r="P25" i="7"/>
  <c r="L25" i="7"/>
  <c r="H25" i="7"/>
  <c r="O25" i="7"/>
  <c r="G25" i="7"/>
  <c r="K25" i="7"/>
  <c r="O24" i="7"/>
  <c r="G24" i="7"/>
  <c r="K24" i="7"/>
  <c r="L23" i="7"/>
  <c r="H23" i="7"/>
  <c r="O23" i="7"/>
  <c r="G23" i="7"/>
  <c r="K23" i="7"/>
  <c r="P22" i="7"/>
  <c r="O22" i="7"/>
  <c r="G22" i="7"/>
  <c r="K22" i="7"/>
  <c r="L21" i="7"/>
  <c r="O21" i="7"/>
  <c r="G21" i="7"/>
  <c r="K21" i="7"/>
  <c r="K20" i="7"/>
  <c r="G20" i="7"/>
  <c r="L20" i="7"/>
  <c r="G17" i="7"/>
  <c r="O17" i="7"/>
  <c r="K17" i="7"/>
  <c r="G16" i="7"/>
  <c r="O16" i="7"/>
  <c r="K16" i="7"/>
  <c r="P15" i="7"/>
  <c r="O15" i="7"/>
  <c r="L15" i="7"/>
  <c r="K15" i="7"/>
  <c r="H15" i="7"/>
  <c r="G15" i="7"/>
  <c r="G14" i="7"/>
  <c r="L14" i="7"/>
  <c r="K14" i="7"/>
  <c r="H14" i="7"/>
  <c r="P13" i="7"/>
  <c r="O13" i="7"/>
  <c r="L13" i="7"/>
  <c r="K13" i="7"/>
  <c r="H13" i="7"/>
  <c r="G13" i="7"/>
  <c r="G12" i="7"/>
  <c r="P12" i="7"/>
  <c r="K12" i="7"/>
  <c r="G18" i="7" l="1"/>
  <c r="G27" i="7"/>
  <c r="G28" i="7"/>
  <c r="C27" i="7"/>
  <c r="C18" i="7"/>
  <c r="L29" i="7"/>
  <c r="P28" i="7"/>
  <c r="C29" i="7"/>
  <c r="G36" i="7"/>
  <c r="L28" i="7"/>
  <c r="P27" i="7"/>
  <c r="H27" i="7"/>
  <c r="P29" i="7"/>
  <c r="H29" i="7"/>
  <c r="C28" i="7"/>
  <c r="AD13" i="3" l="1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8" i="3"/>
  <c r="AD39" i="3"/>
  <c r="AD40" i="3"/>
  <c r="AD41" i="3"/>
  <c r="AD36" i="3"/>
  <c r="AD42" i="3"/>
  <c r="AD44" i="3"/>
  <c r="AD45" i="3"/>
  <c r="AD46" i="3"/>
  <c r="AD47" i="3"/>
  <c r="AD48" i="3"/>
  <c r="AD49" i="3"/>
  <c r="AD12" i="3"/>
  <c r="AG13" i="3" l="1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8" i="3"/>
  <c r="AG39" i="3"/>
  <c r="AG40" i="3"/>
  <c r="AG41" i="3"/>
  <c r="AG36" i="3"/>
  <c r="AG42" i="3"/>
  <c r="AG44" i="3"/>
  <c r="AG45" i="3"/>
  <c r="AG46" i="3"/>
  <c r="AG47" i="3"/>
  <c r="AG48" i="3"/>
  <c r="AG49" i="3"/>
  <c r="AG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8" i="3"/>
  <c r="AF39" i="3"/>
  <c r="AF40" i="3"/>
  <c r="AF41" i="3"/>
  <c r="AF36" i="3"/>
  <c r="AF42" i="3"/>
  <c r="AF44" i="3"/>
  <c r="AF45" i="3"/>
  <c r="AF46" i="3"/>
  <c r="AF47" i="3"/>
  <c r="AF48" i="3"/>
  <c r="AF49" i="3"/>
  <c r="AF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8" i="3"/>
  <c r="Y39" i="3"/>
  <c r="Y40" i="3"/>
  <c r="Y41" i="3"/>
  <c r="Y36" i="3"/>
  <c r="Y42" i="3"/>
  <c r="Y44" i="3"/>
  <c r="Y45" i="3"/>
  <c r="Y46" i="3"/>
  <c r="Y47" i="3"/>
  <c r="Y48" i="3"/>
  <c r="Y49" i="3"/>
  <c r="X17" i="3"/>
  <c r="X18" i="3"/>
  <c r="X19" i="3"/>
  <c r="X27" i="3"/>
  <c r="X28" i="3"/>
  <c r="X29" i="3"/>
  <c r="X30" i="3"/>
  <c r="X44" i="3"/>
  <c r="X45" i="3"/>
  <c r="X12" i="3"/>
  <c r="W47" i="3"/>
  <c r="V14" i="3"/>
  <c r="V16" i="3"/>
  <c r="V17" i="3"/>
  <c r="V18" i="3"/>
  <c r="V19" i="3"/>
  <c r="V23" i="3"/>
  <c r="V24" i="3"/>
  <c r="V25" i="3"/>
  <c r="V26" i="3"/>
  <c r="V27" i="3"/>
  <c r="V28" i="3"/>
  <c r="V29" i="3"/>
  <c r="V30" i="3"/>
  <c r="V33" i="3"/>
  <c r="V39" i="3"/>
  <c r="V41" i="3"/>
  <c r="V36" i="3"/>
  <c r="V44" i="3"/>
  <c r="V45" i="3"/>
  <c r="V48" i="3"/>
  <c r="V49" i="3"/>
  <c r="AK13" i="3" l="1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8" i="3"/>
  <c r="AK39" i="3"/>
  <c r="AK40" i="3"/>
  <c r="AK41" i="3"/>
  <c r="AK36" i="3"/>
  <c r="AK42" i="3"/>
  <c r="AK44" i="3"/>
  <c r="AK45" i="3"/>
  <c r="AK46" i="3"/>
  <c r="AK47" i="3"/>
  <c r="AK48" i="3"/>
  <c r="AK49" i="3"/>
  <c r="AK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8" i="3"/>
  <c r="AJ39" i="3"/>
  <c r="AJ40" i="3"/>
  <c r="AJ41" i="3"/>
  <c r="AJ36" i="3"/>
  <c r="AJ42" i="3"/>
  <c r="AJ44" i="3"/>
  <c r="AJ45" i="3"/>
  <c r="AJ46" i="3"/>
  <c r="AJ47" i="3"/>
  <c r="AJ48" i="3"/>
  <c r="AJ49" i="3"/>
  <c r="AJ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8" i="3"/>
  <c r="AI39" i="3"/>
  <c r="AI40" i="3"/>
  <c r="AI41" i="3"/>
  <c r="AI36" i="3"/>
  <c r="AI42" i="3"/>
  <c r="AI44" i="3"/>
  <c r="AI45" i="3"/>
  <c r="AI46" i="3"/>
  <c r="AI47" i="3"/>
  <c r="AI48" i="3"/>
  <c r="AI49" i="3"/>
  <c r="AI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8" i="3"/>
  <c r="AH39" i="3"/>
  <c r="AH40" i="3"/>
  <c r="AH41" i="3"/>
  <c r="AH36" i="3"/>
  <c r="AH42" i="3"/>
  <c r="AH44" i="3"/>
  <c r="AH45" i="3"/>
  <c r="AH46" i="3"/>
  <c r="AH47" i="3"/>
  <c r="AH48" i="3"/>
  <c r="AH49" i="3"/>
  <c r="AH12" i="3"/>
  <c r="AE49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8" i="3"/>
  <c r="AE39" i="3"/>
  <c r="AE40" i="3"/>
  <c r="AE41" i="3"/>
  <c r="AE36" i="3"/>
  <c r="AE42" i="3"/>
  <c r="AE44" i="3"/>
  <c r="AE45" i="3"/>
  <c r="AE46" i="3"/>
  <c r="AE47" i="3"/>
  <c r="AE48" i="3"/>
  <c r="AE12" i="3"/>
  <c r="AC49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8" i="3"/>
  <c r="AC39" i="3"/>
  <c r="AC40" i="3"/>
  <c r="AC41" i="3"/>
  <c r="AC36" i="3"/>
  <c r="AC42" i="3"/>
  <c r="AC44" i="3"/>
  <c r="AC45" i="3"/>
  <c r="AC46" i="3"/>
  <c r="AC47" i="3"/>
  <c r="AC48" i="3"/>
  <c r="AC12" i="3"/>
  <c r="AB18" i="3"/>
  <c r="AB19" i="3"/>
  <c r="AB27" i="3"/>
  <c r="AB28" i="3"/>
  <c r="AB29" i="3"/>
  <c r="AB30" i="3"/>
  <c r="AB44" i="3"/>
  <c r="AB45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8" i="3"/>
  <c r="AA39" i="3"/>
  <c r="AA40" i="3"/>
  <c r="AA41" i="3"/>
  <c r="AA36" i="3"/>
  <c r="AA42" i="3"/>
  <c r="AA44" i="3"/>
  <c r="AA45" i="3"/>
  <c r="AA46" i="3"/>
  <c r="AA47" i="3"/>
  <c r="AA48" i="3"/>
  <c r="AA49" i="3"/>
  <c r="AA12" i="3"/>
  <c r="Z18" i="3"/>
  <c r="Z19" i="3"/>
  <c r="Z27" i="3"/>
  <c r="Z28" i="3"/>
  <c r="Z29" i="3"/>
  <c r="Z30" i="3"/>
  <c r="Z44" i="3"/>
  <c r="Z45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8" i="3"/>
  <c r="W39" i="3"/>
  <c r="W40" i="3"/>
  <c r="W41" i="3"/>
  <c r="W36" i="3"/>
  <c r="W42" i="3"/>
  <c r="W44" i="3"/>
  <c r="W45" i="3"/>
  <c r="W46" i="3"/>
  <c r="W48" i="3"/>
  <c r="W49" i="3"/>
  <c r="W12" i="3"/>
  <c r="H39" i="3" l="1"/>
  <c r="K4" i="4" l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" i="4"/>
  <c r="L25" i="4" l="1"/>
  <c r="L23" i="4"/>
  <c r="L21" i="4"/>
  <c r="L17" i="4"/>
  <c r="L13" i="4"/>
  <c r="L11" i="4"/>
  <c r="L7" i="4"/>
  <c r="L22" i="4"/>
  <c r="L19" i="4"/>
  <c r="L15" i="4"/>
  <c r="L4" i="4"/>
  <c r="L8" i="4"/>
  <c r="L27" i="4"/>
  <c r="L5" i="4"/>
  <c r="L3" i="4"/>
  <c r="L24" i="4"/>
  <c r="L20" i="4"/>
  <c r="L18" i="4"/>
  <c r="L16" i="4"/>
  <c r="L6" i="4"/>
  <c r="L29" i="4"/>
  <c r="L9" i="4"/>
  <c r="L14" i="4"/>
  <c r="L10" i="4"/>
  <c r="L26" i="4"/>
  <c r="L12" i="4"/>
  <c r="L28" i="4"/>
  <c r="P42" i="3" l="1"/>
  <c r="P36" i="3"/>
  <c r="P41" i="3"/>
  <c r="P40" i="3"/>
  <c r="P39" i="3"/>
  <c r="P38" i="3"/>
  <c r="P35" i="3"/>
  <c r="P34" i="3"/>
  <c r="P33" i="3"/>
  <c r="P32" i="3"/>
  <c r="P31" i="3"/>
  <c r="P26" i="3"/>
  <c r="P25" i="3"/>
  <c r="P24" i="3"/>
  <c r="P23" i="3"/>
  <c r="P22" i="3"/>
  <c r="P21" i="3"/>
  <c r="P20" i="3"/>
  <c r="P17" i="3"/>
  <c r="P16" i="3"/>
  <c r="P15" i="3"/>
  <c r="P14" i="3"/>
  <c r="P13" i="3"/>
  <c r="L42" i="3"/>
  <c r="L36" i="3"/>
  <c r="L41" i="3"/>
  <c r="L40" i="3"/>
  <c r="L39" i="3"/>
  <c r="L38" i="3"/>
  <c r="L35" i="3"/>
  <c r="L34" i="3"/>
  <c r="L33" i="3"/>
  <c r="L32" i="3"/>
  <c r="L31" i="3"/>
  <c r="L26" i="3"/>
  <c r="L25" i="3"/>
  <c r="L24" i="3"/>
  <c r="L23" i="3"/>
  <c r="L22" i="3"/>
  <c r="L21" i="3"/>
  <c r="L20" i="3"/>
  <c r="L17" i="3"/>
  <c r="L16" i="3"/>
  <c r="L15" i="3"/>
  <c r="L14" i="3"/>
  <c r="L13" i="3"/>
  <c r="H38" i="3" l="1"/>
  <c r="H28" i="3"/>
  <c r="P28" i="3"/>
  <c r="B97" i="1"/>
  <c r="B102" i="1" s="1"/>
  <c r="B107" i="1" s="1"/>
  <c r="B112" i="1" s="1"/>
  <c r="B12" i="1"/>
  <c r="B17" i="1" s="1"/>
  <c r="B22" i="1" s="1"/>
  <c r="B27" i="1" s="1"/>
  <c r="B32" i="1" s="1"/>
  <c r="B37" i="1" s="1"/>
  <c r="B42" i="1" s="1"/>
  <c r="B47" i="1" s="1"/>
  <c r="B52" i="1" s="1"/>
  <c r="B57" i="1" s="1"/>
  <c r="B62" i="1" s="1"/>
  <c r="B67" i="1" s="1"/>
  <c r="B72" i="1" s="1"/>
  <c r="C12" i="1"/>
  <c r="C17" i="1" s="1"/>
  <c r="P18" i="3"/>
  <c r="P29" i="3"/>
  <c r="P27" i="3"/>
  <c r="O29" i="3"/>
  <c r="P12" i="3"/>
  <c r="L18" i="3"/>
  <c r="H42" i="3"/>
  <c r="H36" i="3"/>
  <c r="H41" i="3"/>
  <c r="H40" i="3"/>
  <c r="H35" i="3"/>
  <c r="H34" i="3"/>
  <c r="H33" i="3"/>
  <c r="H32" i="3"/>
  <c r="H31" i="3"/>
  <c r="L29" i="3"/>
  <c r="H29" i="3"/>
  <c r="G29" i="3"/>
  <c r="L27" i="3"/>
  <c r="K27" i="3"/>
  <c r="H26" i="3"/>
  <c r="H25" i="3"/>
  <c r="H24" i="3"/>
  <c r="H23" i="3"/>
  <c r="H22" i="3"/>
  <c r="H21" i="3"/>
  <c r="H20" i="3"/>
  <c r="H18" i="3"/>
  <c r="H17" i="3"/>
  <c r="H16" i="3"/>
  <c r="H15" i="3"/>
  <c r="H14" i="3"/>
  <c r="H13" i="3"/>
  <c r="L12" i="3"/>
  <c r="H12" i="3"/>
  <c r="K29" i="3"/>
  <c r="G7" i="1"/>
  <c r="K7" i="1" s="1"/>
  <c r="C8" i="1"/>
  <c r="F8" i="1" s="1"/>
  <c r="F7" i="1"/>
  <c r="F12" i="1" l="1"/>
  <c r="C13" i="1"/>
  <c r="F13" i="1" s="1"/>
  <c r="G12" i="1"/>
  <c r="K12" i="1" s="1"/>
  <c r="D23" i="3"/>
  <c r="D35" i="3"/>
  <c r="J7" i="1"/>
  <c r="D13" i="3"/>
  <c r="D31" i="3"/>
  <c r="D32" i="3"/>
  <c r="D38" i="3"/>
  <c r="D12" i="3"/>
  <c r="D40" i="3"/>
  <c r="D42" i="3"/>
  <c r="G8" i="1"/>
  <c r="J8" i="1" s="1"/>
  <c r="C14" i="1"/>
  <c r="F14" i="1" s="1"/>
  <c r="D21" i="3"/>
  <c r="D22" i="3"/>
  <c r="C22" i="1"/>
  <c r="C27" i="1" s="1"/>
  <c r="G17" i="1"/>
  <c r="G18" i="1" s="1"/>
  <c r="G19" i="1" s="1"/>
  <c r="C18" i="1"/>
  <c r="C19" i="1" s="1"/>
  <c r="F19" i="1" s="1"/>
  <c r="F17" i="1"/>
  <c r="C9" i="1"/>
  <c r="C15" i="1"/>
  <c r="C16" i="1" s="1"/>
  <c r="F16" i="1" s="1"/>
  <c r="O7" i="1"/>
  <c r="O8" i="1" s="1"/>
  <c r="N7" i="1"/>
  <c r="D20" i="3"/>
  <c r="D26" i="3"/>
  <c r="C17" i="3"/>
  <c r="G13" i="1"/>
  <c r="C20" i="1"/>
  <c r="K8" i="1"/>
  <c r="S7" i="1"/>
  <c r="R7" i="1"/>
  <c r="D39" i="3"/>
  <c r="D28" i="3"/>
  <c r="C27" i="3"/>
  <c r="C18" i="3"/>
  <c r="C39" i="3"/>
  <c r="C16" i="3"/>
  <c r="C24" i="3"/>
  <c r="C41" i="3"/>
  <c r="D34" i="3"/>
  <c r="D36" i="3"/>
  <c r="D25" i="3"/>
  <c r="D27" i="3"/>
  <c r="D33" i="3"/>
  <c r="D16" i="3"/>
  <c r="C36" i="3"/>
  <c r="D14" i="3"/>
  <c r="D41" i="3"/>
  <c r="C33" i="3"/>
  <c r="C28" i="3"/>
  <c r="G28" i="3"/>
  <c r="D17" i="3"/>
  <c r="G18" i="3"/>
  <c r="D24" i="3"/>
  <c r="C29" i="3"/>
  <c r="D29" i="3"/>
  <c r="L28" i="3"/>
  <c r="C25" i="3"/>
  <c r="C26" i="3"/>
  <c r="G17" i="3"/>
  <c r="O27" i="3"/>
  <c r="O28" i="3"/>
  <c r="K28" i="3"/>
  <c r="C14" i="3"/>
  <c r="D18" i="3"/>
  <c r="G27" i="3"/>
  <c r="H27" i="3"/>
  <c r="D15" i="3"/>
  <c r="J18" i="1" l="1"/>
  <c r="J12" i="1"/>
  <c r="F15" i="1"/>
  <c r="F18" i="1"/>
  <c r="G9" i="1"/>
  <c r="J9" i="1"/>
  <c r="G10" i="1"/>
  <c r="J17" i="1"/>
  <c r="K17" i="1"/>
  <c r="C10" i="1"/>
  <c r="F9" i="1"/>
  <c r="G22" i="1"/>
  <c r="C23" i="1"/>
  <c r="F22" i="1"/>
  <c r="C32" i="1"/>
  <c r="F27" i="1"/>
  <c r="C28" i="1"/>
  <c r="G27" i="1"/>
  <c r="J19" i="1"/>
  <c r="G20" i="1"/>
  <c r="N8" i="1"/>
  <c r="K9" i="1"/>
  <c r="G14" i="1"/>
  <c r="J13" i="1"/>
  <c r="C21" i="1"/>
  <c r="F21" i="1" s="1"/>
  <c r="F20" i="1"/>
  <c r="K13" i="1"/>
  <c r="N12" i="1"/>
  <c r="O12" i="1"/>
  <c r="R8" i="1"/>
  <c r="O9" i="1"/>
  <c r="W7" i="1"/>
  <c r="S8" i="1"/>
  <c r="V7" i="1"/>
  <c r="F23" i="1" l="1"/>
  <c r="C24" i="1"/>
  <c r="O17" i="1"/>
  <c r="K18" i="1"/>
  <c r="N17" i="1"/>
  <c r="G11" i="1"/>
  <c r="J11" i="1" s="1"/>
  <c r="J10" i="1"/>
  <c r="G23" i="1"/>
  <c r="J22" i="1"/>
  <c r="K22" i="1"/>
  <c r="C11" i="1"/>
  <c r="F11" i="1" s="1"/>
  <c r="F10" i="1"/>
  <c r="K27" i="1"/>
  <c r="J27" i="1"/>
  <c r="G28" i="1"/>
  <c r="C29" i="1"/>
  <c r="F28" i="1"/>
  <c r="G21" i="1"/>
  <c r="J21" i="1" s="1"/>
  <c r="J20" i="1"/>
  <c r="C33" i="1"/>
  <c r="F32" i="1"/>
  <c r="G32" i="1"/>
  <c r="C37" i="1"/>
  <c r="V8" i="1"/>
  <c r="S9" i="1"/>
  <c r="O13" i="1"/>
  <c r="R12" i="1"/>
  <c r="S12" i="1"/>
  <c r="J14" i="1"/>
  <c r="G15" i="1"/>
  <c r="K10" i="1"/>
  <c r="N9" i="1"/>
  <c r="W8" i="1"/>
  <c r="Z7" i="1"/>
  <c r="R9" i="1"/>
  <c r="O10" i="1"/>
  <c r="N13" i="1"/>
  <c r="K14" i="1"/>
  <c r="O22" i="1" l="1"/>
  <c r="N22" i="1"/>
  <c r="K23" i="1"/>
  <c r="J23" i="1"/>
  <c r="G24" i="1"/>
  <c r="K19" i="1"/>
  <c r="N18" i="1"/>
  <c r="C25" i="1"/>
  <c r="F24" i="1"/>
  <c r="O18" i="1"/>
  <c r="S17" i="1"/>
  <c r="R17" i="1"/>
  <c r="F33" i="1"/>
  <c r="C34" i="1"/>
  <c r="C23" i="3"/>
  <c r="F29" i="1"/>
  <c r="C30" i="1"/>
  <c r="G37" i="1"/>
  <c r="F37" i="1"/>
  <c r="V12" i="3" s="1"/>
  <c r="C38" i="1"/>
  <c r="C42" i="1"/>
  <c r="J28" i="1"/>
  <c r="G29" i="1"/>
  <c r="K32" i="1"/>
  <c r="G33" i="1"/>
  <c r="J32" i="1"/>
  <c r="O27" i="1"/>
  <c r="K28" i="1"/>
  <c r="N27" i="1"/>
  <c r="V9" i="1"/>
  <c r="S10" i="1"/>
  <c r="G16" i="1"/>
  <c r="J16" i="1" s="1"/>
  <c r="J15" i="1"/>
  <c r="W9" i="1"/>
  <c r="Z8" i="1"/>
  <c r="R10" i="1"/>
  <c r="O11" i="1"/>
  <c r="R11" i="1" s="1"/>
  <c r="W12" i="1"/>
  <c r="S13" i="1"/>
  <c r="V12" i="1"/>
  <c r="R13" i="1"/>
  <c r="O14" i="1"/>
  <c r="K11" i="1"/>
  <c r="N11" i="1" s="1"/>
  <c r="N10" i="1"/>
  <c r="K15" i="1"/>
  <c r="N14" i="1"/>
  <c r="R18" i="1" l="1"/>
  <c r="O19" i="1"/>
  <c r="C26" i="1"/>
  <c r="F26" i="1" s="1"/>
  <c r="F25" i="1"/>
  <c r="N19" i="1"/>
  <c r="K20" i="1"/>
  <c r="W17" i="1"/>
  <c r="S18" i="1"/>
  <c r="V17" i="1"/>
  <c r="J24" i="1"/>
  <c r="G25" i="1"/>
  <c r="K24" i="1"/>
  <c r="N23" i="1"/>
  <c r="S22" i="1"/>
  <c r="O23" i="1"/>
  <c r="R22" i="1"/>
  <c r="C31" i="1"/>
  <c r="F31" i="1" s="1"/>
  <c r="F30" i="1"/>
  <c r="J29" i="1"/>
  <c r="G30" i="1"/>
  <c r="G42" i="1"/>
  <c r="C47" i="1"/>
  <c r="C43" i="1"/>
  <c r="F42" i="1"/>
  <c r="J33" i="1"/>
  <c r="G34" i="1"/>
  <c r="O32" i="1"/>
  <c r="K33" i="1"/>
  <c r="N32" i="1"/>
  <c r="K29" i="1"/>
  <c r="N28" i="1"/>
  <c r="C39" i="1"/>
  <c r="F38" i="1"/>
  <c r="R27" i="1"/>
  <c r="O28" i="1"/>
  <c r="S27" i="1"/>
  <c r="F34" i="1"/>
  <c r="C35" i="1"/>
  <c r="J37" i="1"/>
  <c r="K37" i="1"/>
  <c r="G38" i="1"/>
  <c r="K16" i="1"/>
  <c r="N16" i="1" s="1"/>
  <c r="N15" i="1"/>
  <c r="V13" i="1"/>
  <c r="S14" i="1"/>
  <c r="W13" i="1"/>
  <c r="Z12" i="1"/>
  <c r="R14" i="1"/>
  <c r="O15" i="1"/>
  <c r="S11" i="1"/>
  <c r="V11" i="1" s="1"/>
  <c r="V10" i="1"/>
  <c r="W10" i="1"/>
  <c r="Z9" i="1"/>
  <c r="V15" i="3" l="1"/>
  <c r="V46" i="3"/>
  <c r="R23" i="1"/>
  <c r="O24" i="1"/>
  <c r="V22" i="1"/>
  <c r="S23" i="1"/>
  <c r="W22" i="1"/>
  <c r="K25" i="1"/>
  <c r="N24" i="1"/>
  <c r="V18" i="1"/>
  <c r="S19" i="1"/>
  <c r="N20" i="1"/>
  <c r="K21" i="1"/>
  <c r="N21" i="1" s="1"/>
  <c r="O20" i="1"/>
  <c r="R19" i="1"/>
  <c r="J25" i="1"/>
  <c r="G26" i="1"/>
  <c r="J26" i="1" s="1"/>
  <c r="W18" i="1"/>
  <c r="Z17" i="1"/>
  <c r="F35" i="1"/>
  <c r="C36" i="1"/>
  <c r="F36" i="1" s="1"/>
  <c r="K30" i="1"/>
  <c r="N29" i="1"/>
  <c r="C52" i="1"/>
  <c r="G47" i="1"/>
  <c r="F47" i="1"/>
  <c r="C48" i="1"/>
  <c r="F39" i="1"/>
  <c r="C40" i="1"/>
  <c r="G43" i="1"/>
  <c r="K42" i="1"/>
  <c r="J42" i="1"/>
  <c r="O29" i="1"/>
  <c r="R28" i="1"/>
  <c r="S32" i="1"/>
  <c r="R32" i="1"/>
  <c r="O33" i="1"/>
  <c r="K38" i="1"/>
  <c r="O37" i="1"/>
  <c r="N37" i="1"/>
  <c r="V27" i="1"/>
  <c r="W27" i="1"/>
  <c r="S28" i="1"/>
  <c r="G31" i="1"/>
  <c r="J31" i="1" s="1"/>
  <c r="J30" i="1"/>
  <c r="G35" i="1"/>
  <c r="J34" i="1"/>
  <c r="F43" i="1"/>
  <c r="V22" i="3" s="1"/>
  <c r="C44" i="1"/>
  <c r="N33" i="1"/>
  <c r="K34" i="1"/>
  <c r="J38" i="1"/>
  <c r="G39" i="1"/>
  <c r="Z10" i="1"/>
  <c r="W11" i="1"/>
  <c r="Z11" i="1" s="1"/>
  <c r="Z13" i="1"/>
  <c r="W14" i="1"/>
  <c r="R15" i="1"/>
  <c r="O16" i="1"/>
  <c r="R16" i="1" s="1"/>
  <c r="S15" i="1"/>
  <c r="V14" i="1"/>
  <c r="S20" i="1" l="1"/>
  <c r="V19" i="1"/>
  <c r="W23" i="1"/>
  <c r="Z22" i="1"/>
  <c r="Z18" i="1"/>
  <c r="W19" i="1"/>
  <c r="O21" i="1"/>
  <c r="R21" i="1" s="1"/>
  <c r="R20" i="1"/>
  <c r="K26" i="1"/>
  <c r="N26" i="1" s="1"/>
  <c r="V42" i="3" s="1"/>
  <c r="N25" i="1"/>
  <c r="S24" i="1"/>
  <c r="V23" i="1"/>
  <c r="R24" i="1"/>
  <c r="O25" i="1"/>
  <c r="K35" i="1"/>
  <c r="N34" i="1"/>
  <c r="V28" i="1"/>
  <c r="S29" i="1"/>
  <c r="V32" i="1"/>
  <c r="W32" i="1"/>
  <c r="S33" i="1"/>
  <c r="C49" i="1"/>
  <c r="F48" i="1"/>
  <c r="W28" i="1"/>
  <c r="Z27" i="1"/>
  <c r="F44" i="1"/>
  <c r="C45" i="1"/>
  <c r="O30" i="1"/>
  <c r="R29" i="1"/>
  <c r="K47" i="1"/>
  <c r="G48" i="1"/>
  <c r="J47" i="1"/>
  <c r="S37" i="1"/>
  <c r="R37" i="1"/>
  <c r="O38" i="1"/>
  <c r="O42" i="1"/>
  <c r="N42" i="1"/>
  <c r="V13" i="3" s="1"/>
  <c r="K43" i="1"/>
  <c r="C57" i="1"/>
  <c r="G52" i="1"/>
  <c r="C53" i="1"/>
  <c r="F52" i="1"/>
  <c r="J35" i="1"/>
  <c r="G36" i="1"/>
  <c r="J36" i="1" s="1"/>
  <c r="J43" i="1"/>
  <c r="G44" i="1"/>
  <c r="J39" i="1"/>
  <c r="G40" i="1"/>
  <c r="O34" i="1"/>
  <c r="R33" i="1"/>
  <c r="F40" i="1"/>
  <c r="V35" i="3" s="1"/>
  <c r="C41" i="1"/>
  <c r="F41" i="1" s="1"/>
  <c r="N38" i="1"/>
  <c r="K39" i="1"/>
  <c r="K31" i="1"/>
  <c r="N31" i="1" s="1"/>
  <c r="N30" i="1"/>
  <c r="Z14" i="1"/>
  <c r="W15" i="1"/>
  <c r="S16" i="1"/>
  <c r="V16" i="1" s="1"/>
  <c r="V15" i="1"/>
  <c r="S25" i="1" l="1"/>
  <c r="V24" i="1"/>
  <c r="Z23" i="1"/>
  <c r="W24" i="1"/>
  <c r="V20" i="1"/>
  <c r="S21" i="1"/>
  <c r="V21" i="1" s="1"/>
  <c r="R25" i="1"/>
  <c r="O26" i="1"/>
  <c r="R26" i="1" s="1"/>
  <c r="C42" i="3" s="1"/>
  <c r="W20" i="1"/>
  <c r="Z19" i="1"/>
  <c r="K48" i="1"/>
  <c r="N47" i="1"/>
  <c r="O47" i="1"/>
  <c r="V33" i="1"/>
  <c r="S34" i="1"/>
  <c r="O43" i="1"/>
  <c r="S42" i="1"/>
  <c r="R42" i="1"/>
  <c r="O31" i="1"/>
  <c r="R31" i="1" s="1"/>
  <c r="R30" i="1"/>
  <c r="Z32" i="1"/>
  <c r="W33" i="1"/>
  <c r="K44" i="1"/>
  <c r="N43" i="1"/>
  <c r="S30" i="1"/>
  <c r="V29" i="1"/>
  <c r="K40" i="1"/>
  <c r="N39" i="1"/>
  <c r="F49" i="1"/>
  <c r="C50" i="1"/>
  <c r="C46" i="1"/>
  <c r="F46" i="1" s="1"/>
  <c r="F45" i="1"/>
  <c r="F53" i="1"/>
  <c r="C54" i="1"/>
  <c r="G41" i="1"/>
  <c r="J41" i="1" s="1"/>
  <c r="J40" i="1"/>
  <c r="K52" i="1"/>
  <c r="G53" i="1"/>
  <c r="J52" i="1"/>
  <c r="W29" i="1"/>
  <c r="Z28" i="1"/>
  <c r="J44" i="1"/>
  <c r="G45" i="1"/>
  <c r="R38" i="1"/>
  <c r="O39" i="1"/>
  <c r="O35" i="1"/>
  <c r="R34" i="1"/>
  <c r="S38" i="1"/>
  <c r="V37" i="1"/>
  <c r="W37" i="1"/>
  <c r="C62" i="1"/>
  <c r="C58" i="1"/>
  <c r="G57" i="1"/>
  <c r="F57" i="1"/>
  <c r="G49" i="1"/>
  <c r="J48" i="1"/>
  <c r="K36" i="1"/>
  <c r="N36" i="1" s="1"/>
  <c r="N35" i="1"/>
  <c r="Z15" i="1"/>
  <c r="W16" i="1"/>
  <c r="Z16" i="1" s="1"/>
  <c r="C22" i="3" l="1"/>
  <c r="W25" i="1"/>
  <c r="Z24" i="1"/>
  <c r="W21" i="1"/>
  <c r="Z21" i="1" s="1"/>
  <c r="Z20" i="1"/>
  <c r="V25" i="1"/>
  <c r="S26" i="1"/>
  <c r="V26" i="1" s="1"/>
  <c r="S39" i="1"/>
  <c r="V38" i="1"/>
  <c r="G58" i="1"/>
  <c r="J57" i="1"/>
  <c r="K57" i="1"/>
  <c r="R39" i="1"/>
  <c r="O40" i="1"/>
  <c r="N52" i="1"/>
  <c r="O52" i="1"/>
  <c r="K53" i="1"/>
  <c r="N44" i="1"/>
  <c r="K45" i="1"/>
  <c r="V34" i="1"/>
  <c r="S35" i="1"/>
  <c r="G50" i="1"/>
  <c r="J49" i="1"/>
  <c r="V42" i="1"/>
  <c r="C12" i="3" s="1"/>
  <c r="S43" i="1"/>
  <c r="W42" i="1"/>
  <c r="O36" i="1"/>
  <c r="R36" i="1" s="1"/>
  <c r="R35" i="1"/>
  <c r="C51" i="1"/>
  <c r="F51" i="1" s="1"/>
  <c r="F50" i="1"/>
  <c r="O44" i="1"/>
  <c r="R43" i="1"/>
  <c r="F58" i="1"/>
  <c r="C59" i="1"/>
  <c r="Z33" i="1"/>
  <c r="W34" i="1"/>
  <c r="J53" i="1"/>
  <c r="G54" i="1"/>
  <c r="C67" i="1"/>
  <c r="G62" i="1"/>
  <c r="F62" i="1"/>
  <c r="C63" i="1"/>
  <c r="J45" i="1"/>
  <c r="G46" i="1"/>
  <c r="J46" i="1" s="1"/>
  <c r="N40" i="1"/>
  <c r="K41" i="1"/>
  <c r="N41" i="1" s="1"/>
  <c r="V38" i="3" s="1"/>
  <c r="Z37" i="1"/>
  <c r="W38" i="1"/>
  <c r="F54" i="1"/>
  <c r="C55" i="1"/>
  <c r="Z29" i="1"/>
  <c r="W30" i="1"/>
  <c r="O48" i="1"/>
  <c r="R47" i="1"/>
  <c r="S47" i="1"/>
  <c r="S31" i="1"/>
  <c r="V31" i="1" s="1"/>
  <c r="V30" i="1"/>
  <c r="K49" i="1"/>
  <c r="N48" i="1"/>
  <c r="C35" i="3" l="1"/>
  <c r="W26" i="1"/>
  <c r="Z26" i="1" s="1"/>
  <c r="Z25" i="1"/>
  <c r="W47" i="1"/>
  <c r="V47" i="1"/>
  <c r="C13" i="3" s="1"/>
  <c r="S48" i="1"/>
  <c r="C72" i="1"/>
  <c r="G67" i="1"/>
  <c r="F67" i="1"/>
  <c r="C68" i="1"/>
  <c r="R44" i="1"/>
  <c r="O45" i="1"/>
  <c r="G55" i="1"/>
  <c r="J54" i="1"/>
  <c r="J50" i="1"/>
  <c r="G51" i="1"/>
  <c r="J51" i="1" s="1"/>
  <c r="R40" i="1"/>
  <c r="O41" i="1"/>
  <c r="R41" i="1" s="1"/>
  <c r="R48" i="1"/>
  <c r="O49" i="1"/>
  <c r="S36" i="1"/>
  <c r="V36" i="1" s="1"/>
  <c r="V35" i="1"/>
  <c r="Z30" i="1"/>
  <c r="W31" i="1"/>
  <c r="Z31" i="1" s="1"/>
  <c r="W35" i="1"/>
  <c r="Z34" i="1"/>
  <c r="N45" i="1"/>
  <c r="K46" i="1"/>
  <c r="N46" i="1" s="1"/>
  <c r="V40" i="3" s="1"/>
  <c r="S44" i="1"/>
  <c r="V43" i="1"/>
  <c r="V21" i="3" s="1"/>
  <c r="N53" i="1"/>
  <c r="K54" i="1"/>
  <c r="K58" i="1"/>
  <c r="N57" i="1"/>
  <c r="O57" i="1"/>
  <c r="N49" i="1"/>
  <c r="K50" i="1"/>
  <c r="C56" i="1"/>
  <c r="F56" i="1" s="1"/>
  <c r="F55" i="1"/>
  <c r="C64" i="1"/>
  <c r="F63" i="1"/>
  <c r="F59" i="1"/>
  <c r="C60" i="1"/>
  <c r="Z42" i="1"/>
  <c r="W43" i="1"/>
  <c r="J58" i="1"/>
  <c r="G59" i="1"/>
  <c r="Z38" i="1"/>
  <c r="W39" i="1"/>
  <c r="J62" i="1"/>
  <c r="G63" i="1"/>
  <c r="K62" i="1"/>
  <c r="S52" i="1"/>
  <c r="O53" i="1"/>
  <c r="R52" i="1"/>
  <c r="V47" i="3" s="1"/>
  <c r="V39" i="1"/>
  <c r="S40" i="1"/>
  <c r="O58" i="1" l="1"/>
  <c r="S57" i="1"/>
  <c r="R57" i="1"/>
  <c r="C15" i="3" s="1"/>
  <c r="F68" i="1"/>
  <c r="C69" i="1"/>
  <c r="S41" i="1"/>
  <c r="V41" i="1" s="1"/>
  <c r="V40" i="1"/>
  <c r="V32" i="3" s="1"/>
  <c r="Z39" i="1"/>
  <c r="W40" i="1"/>
  <c r="K59" i="1"/>
  <c r="N58" i="1"/>
  <c r="W36" i="1"/>
  <c r="Z36" i="1" s="1"/>
  <c r="Z35" i="1"/>
  <c r="F64" i="1"/>
  <c r="C65" i="1"/>
  <c r="K55" i="1"/>
  <c r="N54" i="1"/>
  <c r="K67" i="1"/>
  <c r="J67" i="1"/>
  <c r="G68" i="1"/>
  <c r="G60" i="1"/>
  <c r="J59" i="1"/>
  <c r="G72" i="1"/>
  <c r="C77" i="1"/>
  <c r="F72" i="1"/>
  <c r="X13" i="3" s="1"/>
  <c r="C73" i="1"/>
  <c r="G64" i="1"/>
  <c r="J63" i="1"/>
  <c r="X25" i="3" s="1"/>
  <c r="V52" i="1"/>
  <c r="S53" i="1"/>
  <c r="W52" i="1"/>
  <c r="Z43" i="1"/>
  <c r="W44" i="1"/>
  <c r="K51" i="1"/>
  <c r="N51" i="1" s="1"/>
  <c r="N50" i="1"/>
  <c r="S45" i="1"/>
  <c r="V44" i="1"/>
  <c r="G56" i="1"/>
  <c r="J56" i="1" s="1"/>
  <c r="J55" i="1"/>
  <c r="V31" i="3" s="1"/>
  <c r="F60" i="1"/>
  <c r="C61" i="1"/>
  <c r="F61" i="1" s="1"/>
  <c r="R53" i="1"/>
  <c r="O54" i="1"/>
  <c r="S49" i="1"/>
  <c r="V48" i="1"/>
  <c r="V20" i="3" s="1"/>
  <c r="O62" i="1"/>
  <c r="N62" i="1"/>
  <c r="K63" i="1"/>
  <c r="O50" i="1"/>
  <c r="R49" i="1"/>
  <c r="R45" i="1"/>
  <c r="O46" i="1"/>
  <c r="R46" i="1" s="1"/>
  <c r="Z47" i="1"/>
  <c r="W48" i="1"/>
  <c r="J60" i="1" l="1"/>
  <c r="G61" i="1"/>
  <c r="J61" i="1" s="1"/>
  <c r="C70" i="1"/>
  <c r="F69" i="1"/>
  <c r="K64" i="1"/>
  <c r="N63" i="1"/>
  <c r="K56" i="1"/>
  <c r="N56" i="1" s="1"/>
  <c r="N55" i="1"/>
  <c r="K72" i="1"/>
  <c r="G73" i="1"/>
  <c r="J72" i="1"/>
  <c r="C66" i="1"/>
  <c r="F66" i="1" s="1"/>
  <c r="F65" i="1"/>
  <c r="Z48" i="1"/>
  <c r="C21" i="3" s="1"/>
  <c r="W49" i="1"/>
  <c r="S50" i="1"/>
  <c r="V49" i="1"/>
  <c r="S46" i="1"/>
  <c r="V46" i="1" s="1"/>
  <c r="V45" i="1"/>
  <c r="V34" i="3" s="1"/>
  <c r="C34" i="3" s="1"/>
  <c r="G69" i="1"/>
  <c r="J68" i="1"/>
  <c r="F77" i="1"/>
  <c r="G77" i="1"/>
  <c r="C78" i="1"/>
  <c r="C82" i="1"/>
  <c r="Z52" i="1"/>
  <c r="W53" i="1"/>
  <c r="R62" i="1"/>
  <c r="O63" i="1"/>
  <c r="S62" i="1"/>
  <c r="V53" i="1"/>
  <c r="S54" i="1"/>
  <c r="O55" i="1"/>
  <c r="R54" i="1"/>
  <c r="G65" i="1"/>
  <c r="J64" i="1"/>
  <c r="F73" i="1"/>
  <c r="X22" i="3" s="1"/>
  <c r="C74" i="1"/>
  <c r="K68" i="1"/>
  <c r="O67" i="1"/>
  <c r="N67" i="1"/>
  <c r="N59" i="1"/>
  <c r="K60" i="1"/>
  <c r="V57" i="1"/>
  <c r="S58" i="1"/>
  <c r="W57" i="1"/>
  <c r="O51" i="1"/>
  <c r="R51" i="1" s="1"/>
  <c r="R50" i="1"/>
  <c r="Z44" i="1"/>
  <c r="W45" i="1"/>
  <c r="W41" i="1"/>
  <c r="Z41" i="1" s="1"/>
  <c r="Z40" i="1"/>
  <c r="R58" i="1"/>
  <c r="O59" i="1"/>
  <c r="C31" i="3" l="1"/>
  <c r="C38" i="3"/>
  <c r="O60" i="1"/>
  <c r="R59" i="1"/>
  <c r="Z57" i="1"/>
  <c r="W58" i="1"/>
  <c r="C75" i="1"/>
  <c r="F74" i="1"/>
  <c r="S63" i="1"/>
  <c r="V62" i="1"/>
  <c r="X16" i="3" s="1"/>
  <c r="W62" i="1"/>
  <c r="S59" i="1"/>
  <c r="V58" i="1"/>
  <c r="O64" i="1"/>
  <c r="R63" i="1"/>
  <c r="K65" i="1"/>
  <c r="N64" i="1"/>
  <c r="N68" i="1"/>
  <c r="K69" i="1"/>
  <c r="G78" i="1"/>
  <c r="J77" i="1"/>
  <c r="K77" i="1"/>
  <c r="Z49" i="1"/>
  <c r="W50" i="1"/>
  <c r="G70" i="1"/>
  <c r="J69" i="1"/>
  <c r="S55" i="1"/>
  <c r="V54" i="1"/>
  <c r="S51" i="1"/>
  <c r="V51" i="1" s="1"/>
  <c r="C40" i="3" s="1"/>
  <c r="V50" i="1"/>
  <c r="C71" i="1"/>
  <c r="F71" i="1" s="1"/>
  <c r="X40" i="3" s="1"/>
  <c r="F70" i="1"/>
  <c r="X35" i="3" s="1"/>
  <c r="W46" i="1"/>
  <c r="Z46" i="1" s="1"/>
  <c r="Z45" i="1"/>
  <c r="G74" i="1"/>
  <c r="J73" i="1"/>
  <c r="S67" i="1"/>
  <c r="O68" i="1"/>
  <c r="R67" i="1"/>
  <c r="X14" i="3" s="1"/>
  <c r="F78" i="1"/>
  <c r="C79" i="1"/>
  <c r="N60" i="1"/>
  <c r="K61" i="1"/>
  <c r="N61" i="1" s="1"/>
  <c r="X39" i="3" s="1"/>
  <c r="J65" i="1"/>
  <c r="G66" i="1"/>
  <c r="J66" i="1" s="1"/>
  <c r="W54" i="1"/>
  <c r="Z53" i="1"/>
  <c r="C20" i="3" s="1"/>
  <c r="O56" i="1"/>
  <c r="R56" i="1" s="1"/>
  <c r="R55" i="1"/>
  <c r="C32" i="3" s="1"/>
  <c r="C87" i="1"/>
  <c r="F82" i="1"/>
  <c r="G82" i="1"/>
  <c r="C83" i="1"/>
  <c r="N72" i="1"/>
  <c r="K73" i="1"/>
  <c r="O72" i="1"/>
  <c r="G25" i="3" l="1"/>
  <c r="N73" i="1"/>
  <c r="K74" i="1"/>
  <c r="C76" i="1"/>
  <c r="F76" i="1" s="1"/>
  <c r="F75" i="1"/>
  <c r="X33" i="3" s="1"/>
  <c r="F87" i="1"/>
  <c r="Z17" i="3" s="1"/>
  <c r="C92" i="1"/>
  <c r="G87" i="1"/>
  <c r="C88" i="1"/>
  <c r="S64" i="1"/>
  <c r="V63" i="1"/>
  <c r="X24" i="3" s="1"/>
  <c r="Z54" i="1"/>
  <c r="W55" i="1"/>
  <c r="R68" i="1"/>
  <c r="O69" i="1"/>
  <c r="O77" i="1"/>
  <c r="K78" i="1"/>
  <c r="N77" i="1"/>
  <c r="O65" i="1"/>
  <c r="R64" i="1"/>
  <c r="W59" i="1"/>
  <c r="Z58" i="1"/>
  <c r="F79" i="1"/>
  <c r="C80" i="1"/>
  <c r="G71" i="1"/>
  <c r="J71" i="1" s="1"/>
  <c r="J70" i="1"/>
  <c r="O73" i="1"/>
  <c r="R72" i="1"/>
  <c r="S72" i="1"/>
  <c r="N65" i="1"/>
  <c r="K66" i="1"/>
  <c r="N66" i="1" s="1"/>
  <c r="X42" i="3" s="1"/>
  <c r="V67" i="1"/>
  <c r="G16" i="3" s="1"/>
  <c r="S68" i="1"/>
  <c r="W67" i="1"/>
  <c r="K82" i="1"/>
  <c r="J82" i="1"/>
  <c r="G83" i="1"/>
  <c r="J78" i="1"/>
  <c r="G79" i="1"/>
  <c r="S60" i="1"/>
  <c r="V59" i="1"/>
  <c r="Z50" i="1"/>
  <c r="W51" i="1"/>
  <c r="Z51" i="1" s="1"/>
  <c r="F83" i="1"/>
  <c r="C84" i="1"/>
  <c r="J74" i="1"/>
  <c r="G75" i="1"/>
  <c r="V55" i="1"/>
  <c r="S56" i="1"/>
  <c r="V56" i="1" s="1"/>
  <c r="K70" i="1"/>
  <c r="N69" i="1"/>
  <c r="X26" i="3" s="1"/>
  <c r="W63" i="1"/>
  <c r="Z62" i="1"/>
  <c r="O61" i="1"/>
  <c r="R61" i="1" s="1"/>
  <c r="R60" i="1"/>
  <c r="X15" i="3" l="1"/>
  <c r="X47" i="3"/>
  <c r="X46" i="3"/>
  <c r="X23" i="3"/>
  <c r="G23" i="3" s="1"/>
  <c r="X49" i="3"/>
  <c r="X48" i="3"/>
  <c r="C89" i="1"/>
  <c r="F88" i="1"/>
  <c r="Z20" i="3" s="1"/>
  <c r="C85" i="1"/>
  <c r="F84" i="1"/>
  <c r="S77" i="1"/>
  <c r="R77" i="1"/>
  <c r="O78" i="1"/>
  <c r="Z63" i="1"/>
  <c r="W64" i="1"/>
  <c r="G80" i="1"/>
  <c r="J79" i="1"/>
  <c r="O70" i="1"/>
  <c r="R69" i="1"/>
  <c r="C93" i="1"/>
  <c r="G92" i="1"/>
  <c r="F92" i="1"/>
  <c r="C97" i="1"/>
  <c r="V68" i="1"/>
  <c r="X21" i="3" s="1"/>
  <c r="S69" i="1"/>
  <c r="K79" i="1"/>
  <c r="N78" i="1"/>
  <c r="S61" i="1"/>
  <c r="V61" i="1" s="1"/>
  <c r="V60" i="1"/>
  <c r="C81" i="1"/>
  <c r="F81" i="1" s="1"/>
  <c r="F80" i="1"/>
  <c r="G88" i="1"/>
  <c r="K87" i="1"/>
  <c r="J87" i="1"/>
  <c r="N70" i="1"/>
  <c r="X34" i="3" s="1"/>
  <c r="K71" i="1"/>
  <c r="N71" i="1" s="1"/>
  <c r="G84" i="1"/>
  <c r="J83" i="1"/>
  <c r="S73" i="1"/>
  <c r="V72" i="1"/>
  <c r="W72" i="1"/>
  <c r="Z59" i="1"/>
  <c r="W60" i="1"/>
  <c r="W56" i="1"/>
  <c r="Z56" i="1" s="1"/>
  <c r="Z55" i="1"/>
  <c r="N82" i="1"/>
  <c r="O82" i="1"/>
  <c r="K83" i="1"/>
  <c r="R73" i="1"/>
  <c r="O74" i="1"/>
  <c r="O66" i="1"/>
  <c r="R66" i="1" s="1"/>
  <c r="R65" i="1"/>
  <c r="X36" i="3" s="1"/>
  <c r="N74" i="1"/>
  <c r="K75" i="1"/>
  <c r="G76" i="1"/>
  <c r="J76" i="1" s="1"/>
  <c r="J75" i="1"/>
  <c r="Z67" i="1"/>
  <c r="W68" i="1"/>
  <c r="S65" i="1"/>
  <c r="V64" i="1"/>
  <c r="Z16" i="3" l="1"/>
  <c r="K16" i="3" s="1"/>
  <c r="G14" i="3"/>
  <c r="V77" i="1"/>
  <c r="G13" i="3" s="1"/>
  <c r="S78" i="1"/>
  <c r="W77" i="1"/>
  <c r="J84" i="1"/>
  <c r="G85" i="1"/>
  <c r="O79" i="1"/>
  <c r="R78" i="1"/>
  <c r="G22" i="3" s="1"/>
  <c r="V65" i="1"/>
  <c r="S66" i="1"/>
  <c r="V66" i="1" s="1"/>
  <c r="W61" i="1"/>
  <c r="Z61" i="1" s="1"/>
  <c r="Z60" i="1"/>
  <c r="Z68" i="1"/>
  <c r="W69" i="1"/>
  <c r="R74" i="1"/>
  <c r="O75" i="1"/>
  <c r="N79" i="1"/>
  <c r="K80" i="1"/>
  <c r="O71" i="1"/>
  <c r="R71" i="1" s="1"/>
  <c r="R70" i="1"/>
  <c r="F93" i="1"/>
  <c r="C94" i="1"/>
  <c r="C95" i="1" s="1"/>
  <c r="K88" i="1"/>
  <c r="O87" i="1"/>
  <c r="N87" i="1"/>
  <c r="Z12" i="3" s="1"/>
  <c r="F85" i="1"/>
  <c r="C86" i="1"/>
  <c r="F86" i="1" s="1"/>
  <c r="N83" i="1"/>
  <c r="K84" i="1"/>
  <c r="G89" i="1"/>
  <c r="J88" i="1"/>
  <c r="J80" i="1"/>
  <c r="G35" i="3" s="1"/>
  <c r="G81" i="1"/>
  <c r="J81" i="1" s="1"/>
  <c r="K76" i="1"/>
  <c r="N76" i="1" s="1"/>
  <c r="X38" i="3" s="1"/>
  <c r="N75" i="1"/>
  <c r="X31" i="3" s="1"/>
  <c r="J92" i="1"/>
  <c r="G93" i="1"/>
  <c r="K92" i="1"/>
  <c r="G15" i="3"/>
  <c r="W73" i="1"/>
  <c r="Z72" i="1"/>
  <c r="Y12" i="3" s="1"/>
  <c r="G12" i="3" s="1"/>
  <c r="V69" i="1"/>
  <c r="G26" i="3" s="1"/>
  <c r="S70" i="1"/>
  <c r="S82" i="1"/>
  <c r="O83" i="1"/>
  <c r="R82" i="1"/>
  <c r="V73" i="1"/>
  <c r="X20" i="3" s="1"/>
  <c r="S74" i="1"/>
  <c r="C98" i="1"/>
  <c r="G97" i="1"/>
  <c r="C102" i="1"/>
  <c r="F97" i="1"/>
  <c r="AB17" i="3" s="1"/>
  <c r="Z64" i="1"/>
  <c r="W65" i="1"/>
  <c r="C90" i="1"/>
  <c r="F89" i="1"/>
  <c r="Z23" i="3" l="1"/>
  <c r="Z49" i="3"/>
  <c r="Z48" i="3"/>
  <c r="G39" i="3"/>
  <c r="G42" i="3"/>
  <c r="G20" i="3"/>
  <c r="W66" i="1"/>
  <c r="Z66" i="1" s="1"/>
  <c r="Z65" i="1"/>
  <c r="N88" i="1"/>
  <c r="Z25" i="3" s="1"/>
  <c r="K89" i="1"/>
  <c r="O80" i="1"/>
  <c r="R79" i="1"/>
  <c r="R83" i="1"/>
  <c r="O84" i="1"/>
  <c r="N92" i="1"/>
  <c r="Z13" i="3" s="1"/>
  <c r="O92" i="1"/>
  <c r="K93" i="1"/>
  <c r="G90" i="1"/>
  <c r="J89" i="1"/>
  <c r="F94" i="1"/>
  <c r="Z69" i="1"/>
  <c r="W70" i="1"/>
  <c r="J85" i="1"/>
  <c r="G86" i="1"/>
  <c r="J86" i="1" s="1"/>
  <c r="R75" i="1"/>
  <c r="O76" i="1"/>
  <c r="R76" i="1" s="1"/>
  <c r="V82" i="1"/>
  <c r="W82" i="1"/>
  <c r="S83" i="1"/>
  <c r="J93" i="1"/>
  <c r="G94" i="1"/>
  <c r="N84" i="1"/>
  <c r="K85" i="1"/>
  <c r="O88" i="1"/>
  <c r="R87" i="1"/>
  <c r="S87" i="1"/>
  <c r="C107" i="1"/>
  <c r="C103" i="1"/>
  <c r="G102" i="1"/>
  <c r="F102" i="1"/>
  <c r="S79" i="1"/>
  <c r="V78" i="1"/>
  <c r="V74" i="1"/>
  <c r="S75" i="1"/>
  <c r="Z73" i="1"/>
  <c r="W74" i="1"/>
  <c r="C91" i="1"/>
  <c r="F91" i="1" s="1"/>
  <c r="Z39" i="3" s="1"/>
  <c r="F90" i="1"/>
  <c r="Z33" i="3" s="1"/>
  <c r="S71" i="1"/>
  <c r="V71" i="1" s="1"/>
  <c r="V70" i="1"/>
  <c r="G33" i="3" s="1"/>
  <c r="Z77" i="1"/>
  <c r="W78" i="1"/>
  <c r="G98" i="1"/>
  <c r="K97" i="1"/>
  <c r="J97" i="1"/>
  <c r="C99" i="1"/>
  <c r="F98" i="1"/>
  <c r="AB20" i="3" s="1"/>
  <c r="N80" i="1"/>
  <c r="G31" i="3" s="1"/>
  <c r="K81" i="1"/>
  <c r="N81" i="1" s="1"/>
  <c r="AB16" i="3" l="1"/>
  <c r="O16" i="3" s="1"/>
  <c r="G24" i="3"/>
  <c r="R84" i="1"/>
  <c r="O85" i="1"/>
  <c r="F95" i="1"/>
  <c r="Z35" i="3" s="1"/>
  <c r="C96" i="1"/>
  <c r="F96" i="1" s="1"/>
  <c r="G99" i="1"/>
  <c r="J98" i="1"/>
  <c r="C112" i="1"/>
  <c r="C117" i="1" s="1"/>
  <c r="F107" i="1"/>
  <c r="G107" i="1"/>
  <c r="C108" i="1"/>
  <c r="S84" i="1"/>
  <c r="V83" i="1"/>
  <c r="V75" i="1"/>
  <c r="S76" i="1"/>
  <c r="V76" i="1" s="1"/>
  <c r="W83" i="1"/>
  <c r="Z82" i="1"/>
  <c r="R88" i="1"/>
  <c r="O89" i="1"/>
  <c r="O81" i="1"/>
  <c r="R81" i="1" s="1"/>
  <c r="R80" i="1"/>
  <c r="K23" i="3"/>
  <c r="S80" i="1"/>
  <c r="V79" i="1"/>
  <c r="K86" i="1"/>
  <c r="N86" i="1" s="1"/>
  <c r="N85" i="1"/>
  <c r="J90" i="1"/>
  <c r="G91" i="1"/>
  <c r="J91" i="1" s="1"/>
  <c r="K90" i="1"/>
  <c r="N89" i="1"/>
  <c r="Z26" i="3" s="1"/>
  <c r="Z78" i="1"/>
  <c r="G21" i="3" s="1"/>
  <c r="W79" i="1"/>
  <c r="W87" i="1"/>
  <c r="S88" i="1"/>
  <c r="V87" i="1"/>
  <c r="K94" i="1"/>
  <c r="N93" i="1"/>
  <c r="Z24" i="3" s="1"/>
  <c r="G103" i="1"/>
  <c r="J102" i="1"/>
  <c r="K102" i="1"/>
  <c r="G95" i="1"/>
  <c r="J94" i="1"/>
  <c r="S92" i="1"/>
  <c r="O93" i="1"/>
  <c r="R92" i="1"/>
  <c r="F99" i="1"/>
  <c r="C100" i="1"/>
  <c r="K98" i="1"/>
  <c r="O97" i="1"/>
  <c r="N97" i="1"/>
  <c r="AB12" i="3" s="1"/>
  <c r="Z74" i="1"/>
  <c r="W75" i="1"/>
  <c r="C104" i="1"/>
  <c r="C105" i="1" s="1"/>
  <c r="F103" i="1"/>
  <c r="W71" i="1"/>
  <c r="Z71" i="1" s="1"/>
  <c r="Z70" i="1"/>
  <c r="AB23" i="3" l="1"/>
  <c r="AB49" i="3"/>
  <c r="AB48" i="3"/>
  <c r="G36" i="3"/>
  <c r="X32" i="3"/>
  <c r="F117" i="1"/>
  <c r="C122" i="1"/>
  <c r="G117" i="1"/>
  <c r="C118" i="1"/>
  <c r="Z15" i="3"/>
  <c r="K15" i="3" s="1"/>
  <c r="Z47" i="3"/>
  <c r="Z46" i="3"/>
  <c r="K18" i="3" s="1"/>
  <c r="X41" i="3"/>
  <c r="G41" i="3" s="1"/>
  <c r="K39" i="3"/>
  <c r="Z42" i="3"/>
  <c r="K20" i="3"/>
  <c r="K25" i="3"/>
  <c r="K17" i="3"/>
  <c r="K13" i="3"/>
  <c r="W76" i="1"/>
  <c r="Z76" i="1" s="1"/>
  <c r="Z75" i="1"/>
  <c r="G32" i="3" s="1"/>
  <c r="O94" i="1"/>
  <c r="R93" i="1"/>
  <c r="K95" i="1"/>
  <c r="N94" i="1"/>
  <c r="K26" i="3" s="1"/>
  <c r="J99" i="1"/>
  <c r="G100" i="1"/>
  <c r="V92" i="1"/>
  <c r="Z14" i="3" s="1"/>
  <c r="W92" i="1"/>
  <c r="S93" i="1"/>
  <c r="K91" i="1"/>
  <c r="N91" i="1" s="1"/>
  <c r="Z38" i="3" s="1"/>
  <c r="N90" i="1"/>
  <c r="Z32" i="3" s="1"/>
  <c r="S89" i="1"/>
  <c r="V88" i="1"/>
  <c r="Z22" i="3" s="1"/>
  <c r="V84" i="1"/>
  <c r="S85" i="1"/>
  <c r="O98" i="1"/>
  <c r="R97" i="1"/>
  <c r="S97" i="1"/>
  <c r="G96" i="1"/>
  <c r="J96" i="1" s="1"/>
  <c r="J95" i="1"/>
  <c r="Z87" i="1"/>
  <c r="W88" i="1"/>
  <c r="R89" i="1"/>
  <c r="O90" i="1"/>
  <c r="C109" i="1"/>
  <c r="F108" i="1"/>
  <c r="O86" i="1"/>
  <c r="R86" i="1" s="1"/>
  <c r="R85" i="1"/>
  <c r="F100" i="1"/>
  <c r="C101" i="1"/>
  <c r="F101" i="1" s="1"/>
  <c r="S81" i="1"/>
  <c r="V81" i="1" s="1"/>
  <c r="V80" i="1"/>
  <c r="G34" i="3" s="1"/>
  <c r="J103" i="1"/>
  <c r="G104" i="1"/>
  <c r="W84" i="1"/>
  <c r="Z83" i="1"/>
  <c r="F112" i="1"/>
  <c r="C113" i="1"/>
  <c r="G112" i="1"/>
  <c r="F104" i="1"/>
  <c r="N98" i="1"/>
  <c r="K99" i="1"/>
  <c r="K103" i="1"/>
  <c r="O102" i="1"/>
  <c r="N102" i="1"/>
  <c r="AB13" i="3" s="1"/>
  <c r="W80" i="1"/>
  <c r="Z79" i="1"/>
  <c r="J107" i="1"/>
  <c r="G108" i="1"/>
  <c r="K107" i="1"/>
  <c r="K42" i="3" l="1"/>
  <c r="AB39" i="3"/>
  <c r="G118" i="1"/>
  <c r="J117" i="1"/>
  <c r="K117" i="1"/>
  <c r="K24" i="3"/>
  <c r="AB25" i="3"/>
  <c r="K35" i="3"/>
  <c r="AB33" i="3"/>
  <c r="C119" i="1"/>
  <c r="F118" i="1"/>
  <c r="F122" i="1"/>
  <c r="V17" i="7" s="1"/>
  <c r="C17" i="7" s="1"/>
  <c r="C127" i="1"/>
  <c r="G122" i="1"/>
  <c r="C123" i="1"/>
  <c r="G38" i="3"/>
  <c r="G40" i="3"/>
  <c r="N103" i="1"/>
  <c r="AB24" i="3" s="1"/>
  <c r="K104" i="1"/>
  <c r="V89" i="1"/>
  <c r="S90" i="1"/>
  <c r="N99" i="1"/>
  <c r="AB26" i="3" s="1"/>
  <c r="K100" i="1"/>
  <c r="N95" i="1"/>
  <c r="Z31" i="3" s="1"/>
  <c r="K96" i="1"/>
  <c r="N96" i="1" s="1"/>
  <c r="G109" i="1"/>
  <c r="J108" i="1"/>
  <c r="J104" i="1"/>
  <c r="G105" i="1"/>
  <c r="O23" i="3"/>
  <c r="V97" i="1"/>
  <c r="W97" i="1"/>
  <c r="S98" i="1"/>
  <c r="C106" i="1"/>
  <c r="F106" i="1" s="1"/>
  <c r="F105" i="1"/>
  <c r="AB35" i="3" s="1"/>
  <c r="F109" i="1"/>
  <c r="C110" i="1"/>
  <c r="S94" i="1"/>
  <c r="V93" i="1"/>
  <c r="O95" i="1"/>
  <c r="R94" i="1"/>
  <c r="F113" i="1"/>
  <c r="C114" i="1"/>
  <c r="J100" i="1"/>
  <c r="G101" i="1"/>
  <c r="J101" i="1" s="1"/>
  <c r="R102" i="1"/>
  <c r="O103" i="1"/>
  <c r="S102" i="1"/>
  <c r="R90" i="1"/>
  <c r="O91" i="1"/>
  <c r="R91" i="1" s="1"/>
  <c r="R98" i="1"/>
  <c r="O99" i="1"/>
  <c r="Z92" i="1"/>
  <c r="W93" i="1"/>
  <c r="Z88" i="1"/>
  <c r="W89" i="1"/>
  <c r="O107" i="1"/>
  <c r="K108" i="1"/>
  <c r="N107" i="1"/>
  <c r="W85" i="1"/>
  <c r="Z84" i="1"/>
  <c r="Z80" i="1"/>
  <c r="W81" i="1"/>
  <c r="Z81" i="1" s="1"/>
  <c r="G113" i="1"/>
  <c r="K112" i="1"/>
  <c r="J112" i="1"/>
  <c r="V85" i="1"/>
  <c r="S86" i="1"/>
  <c r="V86" i="1" s="1"/>
  <c r="O39" i="3" l="1"/>
  <c r="AB42" i="3"/>
  <c r="J122" i="1"/>
  <c r="K122" i="1"/>
  <c r="G123" i="1"/>
  <c r="C120" i="1"/>
  <c r="F119" i="1"/>
  <c r="K22" i="3"/>
  <c r="Z21" i="3"/>
  <c r="K12" i="3"/>
  <c r="AB15" i="3"/>
  <c r="O15" i="3" s="1"/>
  <c r="AB47" i="3"/>
  <c r="AB46" i="3"/>
  <c r="O18" i="3" s="1"/>
  <c r="K38" i="3"/>
  <c r="F123" i="1"/>
  <c r="V20" i="7" s="1"/>
  <c r="C20" i="7" s="1"/>
  <c r="C124" i="1"/>
  <c r="F127" i="1"/>
  <c r="V16" i="7" s="1"/>
  <c r="C16" i="7" s="1"/>
  <c r="C132" i="1"/>
  <c r="G127" i="1"/>
  <c r="C128" i="1"/>
  <c r="K118" i="1"/>
  <c r="N117" i="1"/>
  <c r="O117" i="1"/>
  <c r="G119" i="1"/>
  <c r="J118" i="1"/>
  <c r="K14" i="3"/>
  <c r="O17" i="3"/>
  <c r="O13" i="3"/>
  <c r="K33" i="3"/>
  <c r="K32" i="3"/>
  <c r="O20" i="3"/>
  <c r="O25" i="3"/>
  <c r="R103" i="1"/>
  <c r="O104" i="1"/>
  <c r="K109" i="1"/>
  <c r="N108" i="1"/>
  <c r="O24" i="3" s="1"/>
  <c r="C111" i="1"/>
  <c r="F111" i="1" s="1"/>
  <c r="F110" i="1"/>
  <c r="O35" i="3" s="1"/>
  <c r="K101" i="1"/>
  <c r="N101" i="1" s="1"/>
  <c r="N100" i="1"/>
  <c r="W86" i="1"/>
  <c r="Z86" i="1" s="1"/>
  <c r="Z85" i="1"/>
  <c r="V94" i="1"/>
  <c r="S95" i="1"/>
  <c r="N112" i="1"/>
  <c r="K113" i="1"/>
  <c r="O112" i="1"/>
  <c r="R107" i="1"/>
  <c r="S107" i="1"/>
  <c r="O108" i="1"/>
  <c r="R99" i="1"/>
  <c r="O100" i="1"/>
  <c r="J113" i="1"/>
  <c r="G114" i="1"/>
  <c r="Z89" i="1"/>
  <c r="W90" i="1"/>
  <c r="C115" i="1"/>
  <c r="F114" i="1"/>
  <c r="J105" i="1"/>
  <c r="G106" i="1"/>
  <c r="J106" i="1" s="1"/>
  <c r="V90" i="1"/>
  <c r="Z34" i="3" s="1"/>
  <c r="S91" i="1"/>
  <c r="V91" i="1" s="1"/>
  <c r="Z41" i="3" s="1"/>
  <c r="S99" i="1"/>
  <c r="V98" i="1"/>
  <c r="K105" i="1"/>
  <c r="N104" i="1"/>
  <c r="O26" i="3" s="1"/>
  <c r="W94" i="1"/>
  <c r="Z93" i="1"/>
  <c r="W102" i="1"/>
  <c r="V102" i="1"/>
  <c r="AB14" i="3" s="1"/>
  <c r="S103" i="1"/>
  <c r="R95" i="1"/>
  <c r="O96" i="1"/>
  <c r="R96" i="1" s="1"/>
  <c r="W98" i="1"/>
  <c r="Z97" i="1"/>
  <c r="G110" i="1"/>
  <c r="J109" i="1"/>
  <c r="O42" i="3" l="1"/>
  <c r="AB38" i="3"/>
  <c r="O118" i="1"/>
  <c r="R117" i="1"/>
  <c r="S117" i="1"/>
  <c r="K119" i="1"/>
  <c r="N118" i="1"/>
  <c r="G128" i="1"/>
  <c r="J127" i="1"/>
  <c r="K127" i="1"/>
  <c r="C121" i="1"/>
  <c r="F121" i="1" s="1"/>
  <c r="F120" i="1"/>
  <c r="N122" i="1"/>
  <c r="V12" i="7" s="1"/>
  <c r="C12" i="7" s="1"/>
  <c r="O122" i="1"/>
  <c r="K123" i="1"/>
  <c r="K21" i="3"/>
  <c r="AB22" i="3"/>
  <c r="K31" i="3"/>
  <c r="AB32" i="3"/>
  <c r="G120" i="1"/>
  <c r="J119" i="1"/>
  <c r="C129" i="1"/>
  <c r="F128" i="1"/>
  <c r="F132" i="1"/>
  <c r="G132" i="1"/>
  <c r="C133" i="1"/>
  <c r="F124" i="1"/>
  <c r="C125" i="1"/>
  <c r="J123" i="1"/>
  <c r="G124" i="1"/>
  <c r="S104" i="1"/>
  <c r="V103" i="1"/>
  <c r="V99" i="1"/>
  <c r="S100" i="1"/>
  <c r="R112" i="1"/>
  <c r="S112" i="1"/>
  <c r="O113" i="1"/>
  <c r="Z102" i="1"/>
  <c r="W103" i="1"/>
  <c r="J110" i="1"/>
  <c r="G111" i="1"/>
  <c r="J111" i="1" s="1"/>
  <c r="O101" i="1"/>
  <c r="R101" i="1" s="1"/>
  <c r="R100" i="1"/>
  <c r="W95" i="1"/>
  <c r="Z94" i="1"/>
  <c r="N109" i="1"/>
  <c r="K110" i="1"/>
  <c r="S96" i="1"/>
  <c r="V96" i="1" s="1"/>
  <c r="V95" i="1"/>
  <c r="Z98" i="1"/>
  <c r="W99" i="1"/>
  <c r="R108" i="1"/>
  <c r="O109" i="1"/>
  <c r="O105" i="1"/>
  <c r="R104" i="1"/>
  <c r="W91" i="1"/>
  <c r="Z91" i="1" s="1"/>
  <c r="Z90" i="1"/>
  <c r="J114" i="1"/>
  <c r="G115" i="1"/>
  <c r="N113" i="1"/>
  <c r="K114" i="1"/>
  <c r="K106" i="1"/>
  <c r="N106" i="1" s="1"/>
  <c r="N105" i="1"/>
  <c r="AB31" i="3" s="1"/>
  <c r="F115" i="1"/>
  <c r="C116" i="1"/>
  <c r="F116" i="1" s="1"/>
  <c r="V107" i="1"/>
  <c r="O12" i="3" s="1"/>
  <c r="W107" i="1"/>
  <c r="S108" i="1"/>
  <c r="O38" i="3" l="1"/>
  <c r="K41" i="3"/>
  <c r="Z40" i="3"/>
  <c r="O22" i="3"/>
  <c r="AB21" i="3"/>
  <c r="J124" i="1"/>
  <c r="G125" i="1"/>
  <c r="F125" i="1"/>
  <c r="V33" i="7" s="1"/>
  <c r="C33" i="7" s="1"/>
  <c r="C126" i="1"/>
  <c r="F126" i="1" s="1"/>
  <c r="V38" i="7" s="1"/>
  <c r="C38" i="7" s="1"/>
  <c r="F133" i="1"/>
  <c r="C134" i="1"/>
  <c r="C130" i="1"/>
  <c r="F129" i="1"/>
  <c r="G121" i="1"/>
  <c r="J121" i="1" s="1"/>
  <c r="J120" i="1"/>
  <c r="R122" i="1"/>
  <c r="S122" i="1"/>
  <c r="O123" i="1"/>
  <c r="K128" i="1"/>
  <c r="N127" i="1"/>
  <c r="V13" i="7" s="1"/>
  <c r="C13" i="7" s="1"/>
  <c r="O127" i="1"/>
  <c r="G129" i="1"/>
  <c r="J128" i="1"/>
  <c r="K120" i="1"/>
  <c r="N119" i="1"/>
  <c r="K34" i="3"/>
  <c r="Z36" i="3"/>
  <c r="J132" i="1"/>
  <c r="K132" i="1"/>
  <c r="G133" i="1"/>
  <c r="V50" i="7"/>
  <c r="V23" i="7"/>
  <c r="C23" i="7" s="1"/>
  <c r="V51" i="7"/>
  <c r="N123" i="1"/>
  <c r="V25" i="7" s="1"/>
  <c r="C25" i="7" s="1"/>
  <c r="K124" i="1"/>
  <c r="S118" i="1"/>
  <c r="V117" i="1"/>
  <c r="W117" i="1"/>
  <c r="O119" i="1"/>
  <c r="R118" i="1"/>
  <c r="O33" i="3"/>
  <c r="O32" i="3"/>
  <c r="O14" i="3"/>
  <c r="V108" i="1"/>
  <c r="S109" i="1"/>
  <c r="S113" i="1"/>
  <c r="W112" i="1"/>
  <c r="V112" i="1"/>
  <c r="G116" i="1"/>
  <c r="J116" i="1" s="1"/>
  <c r="J115" i="1"/>
  <c r="V100" i="1"/>
  <c r="S101" i="1"/>
  <c r="V101" i="1" s="1"/>
  <c r="N114" i="1"/>
  <c r="K115" i="1"/>
  <c r="R109" i="1"/>
  <c r="O110" i="1"/>
  <c r="W96" i="1"/>
  <c r="Z96" i="1" s="1"/>
  <c r="Z95" i="1"/>
  <c r="Z107" i="1"/>
  <c r="W108" i="1"/>
  <c r="Z99" i="1"/>
  <c r="W100" i="1"/>
  <c r="R105" i="1"/>
  <c r="O106" i="1"/>
  <c r="R106" i="1" s="1"/>
  <c r="R113" i="1"/>
  <c r="O114" i="1"/>
  <c r="N110" i="1"/>
  <c r="O31" i="3" s="1"/>
  <c r="K111" i="1"/>
  <c r="N111" i="1" s="1"/>
  <c r="W104" i="1"/>
  <c r="Z103" i="1"/>
  <c r="S105" i="1"/>
  <c r="V104" i="1"/>
  <c r="K36" i="3" l="1"/>
  <c r="AB34" i="3"/>
  <c r="R119" i="1"/>
  <c r="O120" i="1"/>
  <c r="N124" i="1"/>
  <c r="V26" i="7" s="1"/>
  <c r="C26" i="7" s="1"/>
  <c r="K125" i="1"/>
  <c r="N132" i="1"/>
  <c r="O132" i="1"/>
  <c r="K133" i="1"/>
  <c r="O128" i="1"/>
  <c r="R127" i="1"/>
  <c r="S127" i="1"/>
  <c r="K129" i="1"/>
  <c r="N128" i="1"/>
  <c r="V24" i="7" s="1"/>
  <c r="C24" i="7" s="1"/>
  <c r="V122" i="1"/>
  <c r="W122" i="1"/>
  <c r="S123" i="1"/>
  <c r="F134" i="1"/>
  <c r="C135" i="1"/>
  <c r="J125" i="1"/>
  <c r="G126" i="1"/>
  <c r="J126" i="1" s="1"/>
  <c r="K40" i="3"/>
  <c r="AB41" i="3"/>
  <c r="O21" i="3"/>
  <c r="Z117" i="1"/>
  <c r="W118" i="1"/>
  <c r="V118" i="1"/>
  <c r="S119" i="1"/>
  <c r="J133" i="1"/>
  <c r="G134" i="1"/>
  <c r="N120" i="1"/>
  <c r="K121" i="1"/>
  <c r="N121" i="1" s="1"/>
  <c r="G130" i="1"/>
  <c r="J129" i="1"/>
  <c r="R123" i="1"/>
  <c r="O124" i="1"/>
  <c r="C131" i="1"/>
  <c r="F131" i="1" s="1"/>
  <c r="V42" i="7" s="1"/>
  <c r="C42" i="7" s="1"/>
  <c r="F130" i="1"/>
  <c r="V35" i="7" s="1"/>
  <c r="C35" i="7" s="1"/>
  <c r="W109" i="1"/>
  <c r="Z108" i="1"/>
  <c r="S106" i="1"/>
  <c r="V106" i="1" s="1"/>
  <c r="V105" i="1"/>
  <c r="W113" i="1"/>
  <c r="Z112" i="1"/>
  <c r="R114" i="1"/>
  <c r="O115" i="1"/>
  <c r="R110" i="1"/>
  <c r="O111" i="1"/>
  <c r="R111" i="1" s="1"/>
  <c r="Z100" i="1"/>
  <c r="W101" i="1"/>
  <c r="Z101" i="1" s="1"/>
  <c r="K116" i="1"/>
  <c r="N116" i="1" s="1"/>
  <c r="N115" i="1"/>
  <c r="S114" i="1"/>
  <c r="V113" i="1"/>
  <c r="W105" i="1"/>
  <c r="Z104" i="1"/>
  <c r="S110" i="1"/>
  <c r="V109" i="1"/>
  <c r="O41" i="3" l="1"/>
  <c r="AB40" i="3"/>
  <c r="G131" i="1"/>
  <c r="J131" i="1" s="1"/>
  <c r="J130" i="1"/>
  <c r="Z122" i="1"/>
  <c r="W123" i="1"/>
  <c r="S128" i="1"/>
  <c r="V127" i="1"/>
  <c r="V14" i="7" s="1"/>
  <c r="C14" i="7" s="1"/>
  <c r="W127" i="1"/>
  <c r="O129" i="1"/>
  <c r="R128" i="1"/>
  <c r="R132" i="1"/>
  <c r="S132" i="1"/>
  <c r="O133" i="1"/>
  <c r="N125" i="1"/>
  <c r="V32" i="7" s="1"/>
  <c r="C32" i="7" s="1"/>
  <c r="K126" i="1"/>
  <c r="N126" i="1" s="1"/>
  <c r="V40" i="7" s="1"/>
  <c r="C40" i="7" s="1"/>
  <c r="R120" i="1"/>
  <c r="O121" i="1"/>
  <c r="R121" i="1" s="1"/>
  <c r="O34" i="3"/>
  <c r="AB36" i="3"/>
  <c r="R124" i="1"/>
  <c r="O125" i="1"/>
  <c r="J134" i="1"/>
  <c r="G135" i="1"/>
  <c r="V119" i="1"/>
  <c r="S120" i="1"/>
  <c r="Z118" i="1"/>
  <c r="W119" i="1"/>
  <c r="F135" i="1"/>
  <c r="C136" i="1"/>
  <c r="F136" i="1" s="1"/>
  <c r="V123" i="1"/>
  <c r="V22" i="7" s="1"/>
  <c r="C22" i="7" s="1"/>
  <c r="S124" i="1"/>
  <c r="V15" i="7"/>
  <c r="V48" i="7"/>
  <c r="C15" i="7" s="1"/>
  <c r="V49" i="7"/>
  <c r="K130" i="1"/>
  <c r="N129" i="1"/>
  <c r="N133" i="1"/>
  <c r="K134" i="1"/>
  <c r="R115" i="1"/>
  <c r="O116" i="1"/>
  <c r="R116" i="1" s="1"/>
  <c r="S115" i="1"/>
  <c r="V114" i="1"/>
  <c r="S111" i="1"/>
  <c r="V111" i="1" s="1"/>
  <c r="O40" i="3" s="1"/>
  <c r="V110" i="1"/>
  <c r="Z113" i="1"/>
  <c r="W114" i="1"/>
  <c r="W106" i="1"/>
  <c r="Z106" i="1" s="1"/>
  <c r="Z105" i="1"/>
  <c r="W110" i="1"/>
  <c r="Z109" i="1"/>
  <c r="N130" i="1" l="1"/>
  <c r="V31" i="7" s="1"/>
  <c r="C31" i="7" s="1"/>
  <c r="K131" i="1"/>
  <c r="N131" i="1" s="1"/>
  <c r="V36" i="7" s="1"/>
  <c r="C36" i="7" s="1"/>
  <c r="V124" i="1"/>
  <c r="S125" i="1"/>
  <c r="Z119" i="1"/>
  <c r="W120" i="1"/>
  <c r="V120" i="1"/>
  <c r="S121" i="1"/>
  <c r="V121" i="1" s="1"/>
  <c r="J135" i="1"/>
  <c r="G136" i="1"/>
  <c r="J136" i="1" s="1"/>
  <c r="R125" i="1"/>
  <c r="O126" i="1"/>
  <c r="R126" i="1" s="1"/>
  <c r="R133" i="1"/>
  <c r="O134" i="1"/>
  <c r="R129" i="1"/>
  <c r="O130" i="1"/>
  <c r="Z123" i="1"/>
  <c r="W124" i="1"/>
  <c r="O36" i="3"/>
  <c r="N134" i="1"/>
  <c r="K135" i="1"/>
  <c r="V132" i="1"/>
  <c r="W132" i="1"/>
  <c r="S133" i="1"/>
  <c r="Z127" i="1"/>
  <c r="W128" i="1"/>
  <c r="V128" i="1"/>
  <c r="V21" i="7" s="1"/>
  <c r="C21" i="7" s="1"/>
  <c r="S129" i="1"/>
  <c r="W115" i="1"/>
  <c r="Z114" i="1"/>
  <c r="W111" i="1"/>
  <c r="Z111" i="1" s="1"/>
  <c r="Z110" i="1"/>
  <c r="S116" i="1"/>
  <c r="V116" i="1" s="1"/>
  <c r="V115" i="1"/>
  <c r="V129" i="1" l="1"/>
  <c r="S130" i="1"/>
  <c r="Z128" i="1"/>
  <c r="W129" i="1"/>
  <c r="V133" i="1"/>
  <c r="S134" i="1"/>
  <c r="Z124" i="1"/>
  <c r="W125" i="1"/>
  <c r="R130" i="1"/>
  <c r="O131" i="1"/>
  <c r="R131" i="1" s="1"/>
  <c r="R134" i="1"/>
  <c r="O135" i="1"/>
  <c r="Z120" i="1"/>
  <c r="W121" i="1"/>
  <c r="Z121" i="1" s="1"/>
  <c r="V125" i="1"/>
  <c r="V34" i="7" s="1"/>
  <c r="C34" i="7" s="1"/>
  <c r="S126" i="1"/>
  <c r="V126" i="1" s="1"/>
  <c r="V37" i="7" s="1"/>
  <c r="C37" i="7" s="1"/>
  <c r="Z132" i="1"/>
  <c r="W133" i="1"/>
  <c r="N135" i="1"/>
  <c r="K136" i="1"/>
  <c r="N136" i="1" s="1"/>
  <c r="Z115" i="1"/>
  <c r="W116" i="1"/>
  <c r="Z116" i="1" s="1"/>
  <c r="Z133" i="1" l="1"/>
  <c r="W134" i="1"/>
  <c r="R135" i="1"/>
  <c r="O136" i="1"/>
  <c r="R136" i="1" s="1"/>
  <c r="Z125" i="1"/>
  <c r="W126" i="1"/>
  <c r="Z126" i="1" s="1"/>
  <c r="V134" i="1"/>
  <c r="S135" i="1"/>
  <c r="Z129" i="1"/>
  <c r="W130" i="1"/>
  <c r="V130" i="1"/>
  <c r="V41" i="7" s="1"/>
  <c r="C41" i="7" s="1"/>
  <c r="S131" i="1"/>
  <c r="V131" i="1" s="1"/>
  <c r="V39" i="7" s="1"/>
  <c r="C39" i="7" s="1"/>
  <c r="Z130" i="1" l="1"/>
  <c r="W131" i="1"/>
  <c r="Z131" i="1" s="1"/>
  <c r="V135" i="1"/>
  <c r="S136" i="1"/>
  <c r="V136" i="1" s="1"/>
  <c r="Z134" i="1"/>
  <c r="W135" i="1"/>
  <c r="Z135" i="1" l="1"/>
  <c r="W136" i="1"/>
  <c r="Z136" i="1" s="1"/>
</calcChain>
</file>

<file path=xl/sharedStrings.xml><?xml version="1.0" encoding="utf-8"?>
<sst xmlns="http://schemas.openxmlformats.org/spreadsheetml/2006/main" count="834" uniqueCount="199">
  <si>
    <t>Segunda-feira</t>
  </si>
  <si>
    <t>Terça-feira</t>
  </si>
  <si>
    <t>Quarta-feira</t>
  </si>
  <si>
    <t>Quinta-feira</t>
  </si>
  <si>
    <t>Sexta-feira</t>
  </si>
  <si>
    <t>Sábado</t>
  </si>
  <si>
    <t>Licenciatura em Engenharia Eléctrica e Electrónica</t>
  </si>
  <si>
    <t xml:space="preserve">Realçar 1º ano: </t>
  </si>
  <si>
    <t xml:space="preserve">Realçar 2º ano TIT: </t>
  </si>
  <si>
    <t xml:space="preserve">Realçar 2º ano SEC: </t>
  </si>
  <si>
    <t xml:space="preserve">Realçar 3º ano SEC: </t>
  </si>
  <si>
    <t xml:space="preserve">Realçar 3º ano TIT: </t>
  </si>
  <si>
    <t>Falta confirmar com prof:</t>
  </si>
  <si>
    <t>Semana</t>
  </si>
  <si>
    <t>-</t>
  </si>
  <si>
    <t xml:space="preserve">Análise Matemática I </t>
  </si>
  <si>
    <t>Álgebra Linear e Geometria Analítica</t>
  </si>
  <si>
    <t>Programação</t>
  </si>
  <si>
    <t>Física I</t>
  </si>
  <si>
    <t>Análise de Circuitos I</t>
  </si>
  <si>
    <t>Desenho de Electrotecnia</t>
  </si>
  <si>
    <t>Matemática Aplicada à Electrotecnia</t>
  </si>
  <si>
    <t xml:space="preserve">Electromagnetismo </t>
  </si>
  <si>
    <t xml:space="preserve">Electrónica I </t>
  </si>
  <si>
    <t xml:space="preserve">Instrumentação e Medidas </t>
  </si>
  <si>
    <t xml:space="preserve">Sistemas Digitais </t>
  </si>
  <si>
    <t>Algoritmos e Estrutura de Dados</t>
  </si>
  <si>
    <t xml:space="preserve">Electrotecnia Aplicada </t>
  </si>
  <si>
    <t xml:space="preserve">Sistemas de Telecomunicações I </t>
  </si>
  <si>
    <t xml:space="preserve">Radiação e Propagação de Ondas Electromagnéticas </t>
  </si>
  <si>
    <t xml:space="preserve">Bases de Dados </t>
  </si>
  <si>
    <t xml:space="preserve">Comunicações Digitais </t>
  </si>
  <si>
    <t xml:space="preserve">Electrónica Aplicada </t>
  </si>
  <si>
    <t xml:space="preserve">Projecto de Instalações Eléctricas II </t>
  </si>
  <si>
    <t xml:space="preserve">Produção e Transporte de Energia </t>
  </si>
  <si>
    <t>Máquinas Eléctricas I</t>
  </si>
  <si>
    <t xml:space="preserve">Electrónica de Potência </t>
  </si>
  <si>
    <t xml:space="preserve">Aplicações de Microprocessadores </t>
  </si>
  <si>
    <t>Automação e Robótica</t>
  </si>
  <si>
    <t>LICENCIATURA EM ENGENHARIA ELÉCTRICA E ELECTRÓNICA</t>
  </si>
  <si>
    <t>Unidades Curriculares</t>
  </si>
  <si>
    <t>Exame de Época Normal</t>
  </si>
  <si>
    <t>Exame de Época de Recurso</t>
  </si>
  <si>
    <t>Data</t>
  </si>
  <si>
    <t>Hora</t>
  </si>
  <si>
    <t>1º Ano</t>
  </si>
  <si>
    <t>2º Ano</t>
  </si>
  <si>
    <t>3º Ano</t>
  </si>
  <si>
    <t>14h</t>
  </si>
  <si>
    <t>10h</t>
  </si>
  <si>
    <t>Sala</t>
  </si>
  <si>
    <t>=if(not(iserror(vlookup(B8;Calendário!$D$7:$f$66;3;false)));vlookup(B8;Calendário!$D$7:$f$66;3;false);if(not(iserror(vlookup(B8;Calendário!$h$7:$j$66;3;false)));vlookup(B8;Calendário!$h$7:$j$66;3;false);if(not(iserror(vlookup(B8;Calendário!$l$7:$n$66;3;false)));vlookup(B8;Calendário!$l$7:$n$66;3;false);if(not(iserror(vlookup(B8;Calendário!$p$7:$r$66;3;false)));vlookup(B8;Calendário!$p$7:$r$66;3;false);if(not(iserror(vlookup(B8;Calendário!$t$7:$v$66;3;false)));vlookup(B8;Calendário!$t$7:$v$66;3;false);if(not(iserror(vlookup(B8;Calendário!$x$7:$z$66;3;false)));vlookup(B8;Calendário!$X$7:$z$66;3;false);"--"))))))</t>
  </si>
  <si>
    <t>1º data</t>
  </si>
  <si>
    <t>2º data</t>
  </si>
  <si>
    <t>1º Ex data</t>
  </si>
  <si>
    <t>2º Ex data</t>
  </si>
  <si>
    <t>1º hora</t>
  </si>
  <si>
    <t>2º hora</t>
  </si>
  <si>
    <t>1º Ex hora</t>
  </si>
  <si>
    <t>2º Ex hora</t>
  </si>
  <si>
    <t>--</t>
  </si>
  <si>
    <t>Docentes</t>
  </si>
  <si>
    <t>MAE</t>
  </si>
  <si>
    <t>RPOE</t>
  </si>
  <si>
    <t>ME1</t>
  </si>
  <si>
    <t>IM</t>
  </si>
  <si>
    <t>F1</t>
  </si>
  <si>
    <t>E1</t>
  </si>
  <si>
    <t>EP</t>
  </si>
  <si>
    <t>DE</t>
  </si>
  <si>
    <t>CA2</t>
  </si>
  <si>
    <t>BD</t>
  </si>
  <si>
    <t>AM1</t>
  </si>
  <si>
    <t>AC1</t>
  </si>
  <si>
    <t>ALGA</t>
  </si>
  <si>
    <t>SD</t>
  </si>
  <si>
    <t>AED</t>
  </si>
  <si>
    <t>ST1</t>
  </si>
  <si>
    <t>CD</t>
  </si>
  <si>
    <t>PTE</t>
  </si>
  <si>
    <t>Prog.</t>
  </si>
  <si>
    <t>Electromag.</t>
  </si>
  <si>
    <t>Electrotecnia Apl.</t>
  </si>
  <si>
    <t>Electrónica Apl.</t>
  </si>
  <si>
    <t>PIE2</t>
  </si>
  <si>
    <t>AM</t>
  </si>
  <si>
    <t>AR</t>
  </si>
  <si>
    <t>9h30</t>
  </si>
  <si>
    <t>1º Teste / 1º e 2º mini-teste</t>
  </si>
  <si>
    <t>2º Teste / Teste Único / 3º mini-teste</t>
  </si>
  <si>
    <t>1º mini 3º mini</t>
  </si>
  <si>
    <t>2º mini</t>
  </si>
  <si>
    <t>Abreviaturas Usadas</t>
  </si>
  <si>
    <t>Controlo Automático II</t>
  </si>
  <si>
    <t>PROVISÓRIO</t>
  </si>
  <si>
    <t>Paulo Santos</t>
  </si>
  <si>
    <t>Rui Marcelino</t>
  </si>
  <si>
    <t>Luís Oliveira</t>
  </si>
  <si>
    <t>Paulo Silva</t>
  </si>
  <si>
    <t>Mário Saraiva</t>
  </si>
  <si>
    <t>José Livramento</t>
  </si>
  <si>
    <t>Carlos Cabral</t>
  </si>
  <si>
    <t>Roberto Lam</t>
  </si>
  <si>
    <t>Fernando Emídio</t>
  </si>
  <si>
    <t>Pedro Cardoso</t>
  </si>
  <si>
    <t>Datas de Testes e Exames - 1º Semestre - Provisório</t>
  </si>
  <si>
    <t>e Exames - Época Normal/Recurso</t>
  </si>
  <si>
    <t>A. B. Santos</t>
  </si>
  <si>
    <t>Carlos Marinho</t>
  </si>
  <si>
    <t>P. Felisberto</t>
  </si>
  <si>
    <t>António Silva</t>
  </si>
  <si>
    <t>Ana Bela B. Santos</t>
  </si>
  <si>
    <t>Ana Beatriz Azevedo</t>
  </si>
  <si>
    <t>António Sousa</t>
  </si>
  <si>
    <t>Cristiano cabrita</t>
  </si>
  <si>
    <t>Isménio martins</t>
  </si>
  <si>
    <t>Ivo Martins</t>
  </si>
  <si>
    <t>Jânio Monteiro</t>
  </si>
  <si>
    <t>João Gomes</t>
  </si>
  <si>
    <t>João Rodrigues</t>
  </si>
  <si>
    <t>Jorge Semião</t>
  </si>
  <si>
    <t>Larissa labakhua</t>
  </si>
  <si>
    <t>Paula Laurêncio</t>
  </si>
  <si>
    <t>Paulo Felisberto</t>
  </si>
  <si>
    <t>Pedro cardoso</t>
  </si>
  <si>
    <t>Vitor Lopes</t>
  </si>
  <si>
    <t>1test</t>
  </si>
  <si>
    <t>2test</t>
  </si>
  <si>
    <t>exame normal</t>
  </si>
  <si>
    <t>exame rec</t>
  </si>
  <si>
    <t>propria</t>
  </si>
  <si>
    <t>outra</t>
  </si>
  <si>
    <t>total</t>
  </si>
  <si>
    <t>António Silva, Ivo Martins</t>
  </si>
  <si>
    <t>Maria Gabriela Schutz</t>
  </si>
  <si>
    <t>9h</t>
  </si>
  <si>
    <t>16h</t>
  </si>
  <si>
    <t>feriado</t>
  </si>
  <si>
    <t>11h</t>
  </si>
  <si>
    <t>Calendário de Exames</t>
  </si>
  <si>
    <t>Calendário de Testes e Exames</t>
  </si>
  <si>
    <t>Falta marcar:</t>
  </si>
  <si>
    <t>Mário Saraiva, C. Cabrita</t>
  </si>
  <si>
    <t>Jorge Semião, C. Cabrita</t>
  </si>
  <si>
    <t>Roberto lam</t>
  </si>
  <si>
    <t>A. B. Santos, Ana B. Azevedo</t>
  </si>
  <si>
    <t>Elisa Silva; Paulo Santos</t>
  </si>
  <si>
    <t>V. Lopes</t>
  </si>
  <si>
    <t>P. Felisberto, Ana B. Azevedo</t>
  </si>
  <si>
    <t>L. Labakhua</t>
  </si>
  <si>
    <t>A. B. Santos, A. Sousa</t>
  </si>
  <si>
    <t>C. Marinho;  F. Emídio</t>
  </si>
  <si>
    <t>Mário Saraiva, J. Gomes</t>
  </si>
  <si>
    <t>J.Gomes</t>
  </si>
  <si>
    <t>A. B. Santos, Vitor Lopes</t>
  </si>
  <si>
    <t>C. Marinho, R. Lam, F. Emídio</t>
  </si>
  <si>
    <t>16h30</t>
  </si>
  <si>
    <t>ANO LECTIVO 2015/16 - 1º SEMESTRE</t>
  </si>
  <si>
    <t>10h00</t>
  </si>
  <si>
    <t>2.13</t>
  </si>
  <si>
    <t>2.15</t>
  </si>
  <si>
    <t>1.04</t>
  </si>
  <si>
    <t>L. Labakhua; Luís Oliveira</t>
  </si>
  <si>
    <t>Paulo Santos/Carlos Otero</t>
  </si>
  <si>
    <t>Calendário de Testes e Exames - Versão Provisória</t>
  </si>
  <si>
    <t>2.15+2.16+2.17</t>
  </si>
  <si>
    <t>2.15+2.16</t>
  </si>
  <si>
    <t>2.16</t>
  </si>
  <si>
    <t>115 + 2.15</t>
  </si>
  <si>
    <t>anf. 0.4</t>
  </si>
  <si>
    <t>Jorge Semião, M. Saraiva</t>
  </si>
  <si>
    <t>2.17</t>
  </si>
  <si>
    <t>C. Marinho</t>
  </si>
  <si>
    <t>2.15, 2.17</t>
  </si>
  <si>
    <t>Paulo Silva/Paula Laurêncio</t>
  </si>
  <si>
    <t>Ana Bela Santos</t>
  </si>
  <si>
    <t>Jorge Semião, João Gomes</t>
  </si>
  <si>
    <t>Jorge Semião/Mário Saraiva</t>
  </si>
  <si>
    <t>14h30</t>
  </si>
  <si>
    <t>Calendário de Exames - Época de Estatuto</t>
  </si>
  <si>
    <t>Exame</t>
  </si>
  <si>
    <r>
      <rPr>
        <b/>
        <sz val="16"/>
        <rFont val="Arial"/>
        <family val="2"/>
      </rPr>
      <t>NOTAS:</t>
    </r>
    <r>
      <rPr>
        <sz val="16"/>
        <rFont val="Arial"/>
        <family val="2"/>
      </rPr>
      <t xml:space="preserve"> 
- </t>
    </r>
    <r>
      <rPr>
        <b/>
        <sz val="16"/>
        <rFont val="Arial"/>
        <family val="2"/>
      </rPr>
      <t>Datas provisórias sujeitas a alterações</t>
    </r>
    <r>
      <rPr>
        <sz val="16"/>
        <rFont val="Arial"/>
        <family val="2"/>
      </rPr>
      <t xml:space="preserve">, após acordo entre docentes e alunos. As alterações não serão actualizadas neste local.
 - </t>
    </r>
    <r>
      <rPr>
        <b/>
        <sz val="16"/>
        <rFont val="Arial"/>
        <family val="2"/>
      </rPr>
      <t>TODOS</t>
    </r>
    <r>
      <rPr>
        <sz val="16"/>
        <rFont val="Arial"/>
        <family val="2"/>
      </rPr>
      <t xml:space="preserve"> os alunos interessados devem </t>
    </r>
    <r>
      <rPr>
        <b/>
        <sz val="16"/>
        <rFont val="Arial"/>
        <family val="2"/>
      </rPr>
      <t>obrigatoriamente</t>
    </r>
    <r>
      <rPr>
        <sz val="16"/>
        <rFont val="Arial"/>
        <family val="2"/>
      </rPr>
      <t xml:space="preserve"> contactar o docente para manifestar a vontade de realizar o exame e confirmarem a data/hora/sala correctas.
- Nas disciplinas onde não exista o contacto prévio por parte de alunos interessados o</t>
    </r>
    <r>
      <rPr>
        <b/>
        <sz val="16"/>
        <rFont val="Arial"/>
        <family val="2"/>
      </rPr>
      <t xml:space="preserve"> exame não será realizado</t>
    </r>
    <r>
      <rPr>
        <sz val="16"/>
        <rFont val="Arial"/>
        <family val="2"/>
      </rPr>
      <t xml:space="preserve">. </t>
    </r>
  </si>
  <si>
    <t>CA</t>
  </si>
  <si>
    <t>Controlo Automático</t>
  </si>
  <si>
    <t>Energias Renováveis</t>
  </si>
  <si>
    <t>ER</t>
  </si>
  <si>
    <t>Autómatos Programáveis</t>
  </si>
  <si>
    <t>AP</t>
  </si>
  <si>
    <t>jornadas</t>
  </si>
  <si>
    <t>Prog</t>
  </si>
  <si>
    <t>15h30</t>
  </si>
  <si>
    <t>Electromag</t>
  </si>
  <si>
    <t>9h00</t>
  </si>
  <si>
    <t>ElectrA</t>
  </si>
  <si>
    <t>16h00</t>
  </si>
  <si>
    <t>ElectronicaApl</t>
  </si>
  <si>
    <t>ANO LECTIVO 2016/17 - 1º SEMESTRE</t>
  </si>
  <si>
    <r>
      <t xml:space="preserve">Calendário de Testes e Exames - </t>
    </r>
    <r>
      <rPr>
        <b/>
        <sz val="12"/>
        <color rgb="FFFF0000"/>
        <rFont val="Calibri"/>
        <family val="2"/>
        <scheme val="minor"/>
      </rPr>
      <t>Provisório</t>
    </r>
  </si>
  <si>
    <t>14h00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</si>
</sst>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16]d/mmm/yyyy;@"/>
    <numFmt numFmtId="165" formatCode="h:mm;@"/>
    <numFmt numFmtId="166" formatCode="[$-816]d/mmm;@"/>
  </numFmts>
  <fonts count="2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  <scheme val="minor"/>
    </font>
    <font>
      <sz val="10"/>
      <color theme="0" tint="-0.14999847407452621"/>
      <name val="Arial"/>
      <family val="2"/>
    </font>
    <font>
      <sz val="10"/>
      <color theme="0"/>
      <name val="Arial"/>
      <family val="2"/>
    </font>
    <font>
      <sz val="10"/>
      <color theme="6" tint="0.7999816888943144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8" tint="0.79998168889431442"/>
      <name val="Arial"/>
      <family val="2"/>
    </font>
    <font>
      <sz val="10"/>
      <color theme="1" tint="4.9989318521683403E-2"/>
      <name val="Arial"/>
      <family val="2"/>
    </font>
    <font>
      <b/>
      <sz val="10"/>
      <color rgb="FF006600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1"/>
      <name val="Calibri"/>
      <family val="2"/>
    </font>
    <font>
      <sz val="10"/>
      <color theme="9" tint="0.59999389629810485"/>
      <name val="Arial"/>
      <family val="2"/>
    </font>
    <font>
      <b/>
      <sz val="7"/>
      <color theme="1"/>
      <name val="Calibri"/>
      <family val="2"/>
      <scheme val="minor"/>
    </font>
    <font>
      <sz val="16"/>
      <name val="Arial"/>
      <family val="2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9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16" fontId="0" fillId="3" borderId="1" xfId="0" applyNumberFormat="1" applyFill="1" applyBorder="1" applyAlignment="1">
      <alignment horizontal="left"/>
    </xf>
    <xf numFmtId="16" fontId="0" fillId="4" borderId="1" xfId="0" applyNumberFormat="1" applyFill="1" applyBorder="1" applyAlignment="1">
      <alignment horizontal="left"/>
    </xf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16" fontId="0" fillId="5" borderId="1" xfId="0" applyNumberFormat="1" applyFill="1" applyBorder="1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3" fillId="2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16" fontId="7" fillId="5" borderId="11" xfId="0" applyNumberFormat="1" applyFont="1" applyFill="1" applyBorder="1" applyAlignment="1">
      <alignment horizontal="left"/>
    </xf>
    <xf numFmtId="16" fontId="8" fillId="4" borderId="11" xfId="0" applyNumberFormat="1" applyFont="1" applyFill="1" applyBorder="1" applyAlignment="1">
      <alignment horizontal="left"/>
    </xf>
    <xf numFmtId="16" fontId="8" fillId="2" borderId="11" xfId="0" applyNumberFormat="1" applyFont="1" applyFill="1" applyBorder="1" applyAlignment="1">
      <alignment horizontal="left"/>
    </xf>
    <xf numFmtId="16" fontId="8" fillId="2" borderId="12" xfId="0" applyNumberFormat="1" applyFont="1" applyFill="1" applyBorder="1" applyAlignment="1">
      <alignment horizontal="left"/>
    </xf>
    <xf numFmtId="16" fontId="9" fillId="3" borderId="11" xfId="0" applyNumberFormat="1" applyFont="1" applyFill="1" applyBorder="1" applyAlignment="1">
      <alignment horizontal="left"/>
    </xf>
    <xf numFmtId="16" fontId="9" fillId="3" borderId="12" xfId="0" applyNumberFormat="1" applyFont="1" applyFill="1" applyBorder="1" applyAlignment="1">
      <alignment horizontal="left"/>
    </xf>
    <xf numFmtId="0" fontId="0" fillId="2" borderId="0" xfId="0" applyFill="1" applyAlignment="1"/>
    <xf numFmtId="0" fontId="3" fillId="2" borderId="4" xfId="0" applyFont="1" applyFill="1" applyBorder="1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5" fontId="0" fillId="0" borderId="4" xfId="0" applyNumberFormat="1" applyFill="1" applyBorder="1" applyAlignment="1">
      <alignment horizontal="center" vertical="center"/>
    </xf>
    <xf numFmtId="0" fontId="3" fillId="7" borderId="0" xfId="0" applyFont="1" applyFill="1"/>
    <xf numFmtId="0" fontId="4" fillId="7" borderId="0" xfId="0" applyFont="1" applyFill="1" applyAlignment="1">
      <alignment horizontal="center"/>
    </xf>
    <xf numFmtId="0" fontId="0" fillId="7" borderId="0" xfId="0" applyFill="1"/>
    <xf numFmtId="0" fontId="0" fillId="4" borderId="0" xfId="0" applyFill="1"/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4" fillId="9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166" fontId="4" fillId="5" borderId="0" xfId="0" applyNumberFormat="1" applyFont="1" applyFill="1" applyBorder="1" applyAlignment="1">
      <alignment horizontal="center"/>
    </xf>
    <xf numFmtId="166" fontId="4" fillId="4" borderId="6" xfId="0" applyNumberFormat="1" applyFont="1" applyFill="1" applyBorder="1" applyAlignment="1">
      <alignment horizontal="center"/>
    </xf>
    <xf numFmtId="166" fontId="4" fillId="4" borderId="0" xfId="0" applyNumberFormat="1" applyFont="1" applyFill="1" applyBorder="1" applyAlignment="1">
      <alignment horizontal="center"/>
    </xf>
    <xf numFmtId="166" fontId="4" fillId="2" borderId="0" xfId="0" applyNumberFormat="1" applyFont="1" applyFill="1" applyBorder="1" applyAlignment="1">
      <alignment horizontal="center"/>
    </xf>
    <xf numFmtId="166" fontId="4" fillId="2" borderId="7" xfId="0" applyNumberFormat="1" applyFont="1" applyFill="1" applyBorder="1" applyAlignment="1">
      <alignment horizontal="center"/>
    </xf>
    <xf numFmtId="166" fontId="4" fillId="5" borderId="6" xfId="0" applyNumberFormat="1" applyFont="1" applyFill="1" applyBorder="1" applyAlignment="1">
      <alignment horizontal="center"/>
    </xf>
    <xf numFmtId="166" fontId="4" fillId="3" borderId="6" xfId="0" applyNumberFormat="1" applyFont="1" applyFill="1" applyBorder="1" applyAlignment="1">
      <alignment horizontal="center"/>
    </xf>
    <xf numFmtId="166" fontId="4" fillId="3" borderId="0" xfId="0" applyNumberFormat="1" applyFont="1" applyFill="1" applyBorder="1" applyAlignment="1">
      <alignment horizontal="center"/>
    </xf>
    <xf numFmtId="166" fontId="4" fillId="3" borderId="7" xfId="0" applyNumberFormat="1" applyFont="1" applyFill="1" applyBorder="1" applyAlignment="1">
      <alignment horizontal="center"/>
    </xf>
    <xf numFmtId="0" fontId="4" fillId="0" borderId="0" xfId="0" applyFont="1"/>
    <xf numFmtId="0" fontId="6" fillId="8" borderId="4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10" borderId="0" xfId="0" applyFont="1" applyFill="1"/>
    <xf numFmtId="0" fontId="4" fillId="10" borderId="0" xfId="0" applyFon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10" xfId="0" applyNumberFormat="1" applyFill="1" applyBorder="1" applyAlignment="1">
      <alignment horizontal="center" vertical="center"/>
    </xf>
    <xf numFmtId="0" fontId="0" fillId="0" borderId="4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4" xfId="0" quotePrefix="1" applyNumberFormat="1" applyFill="1" applyBorder="1" applyAlignment="1">
      <alignment horizontal="center" vertical="center"/>
    </xf>
    <xf numFmtId="16" fontId="4" fillId="4" borderId="6" xfId="0" applyNumberFormat="1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16" fontId="7" fillId="5" borderId="12" xfId="0" applyNumberFormat="1" applyFont="1" applyFill="1" applyBorder="1" applyAlignment="1">
      <alignment horizontal="left"/>
    </xf>
    <xf numFmtId="0" fontId="0" fillId="0" borderId="16" xfId="0" applyNumberFormat="1" applyFill="1" applyBorder="1" applyAlignment="1">
      <alignment horizontal="center" vertical="center"/>
    </xf>
    <xf numFmtId="166" fontId="4" fillId="5" borderId="7" xfId="0" applyNumberFormat="1" applyFont="1" applyFill="1" applyBorder="1" applyAlignment="1">
      <alignment horizontal="center"/>
    </xf>
    <xf numFmtId="166" fontId="7" fillId="5" borderId="6" xfId="0" applyNumberFormat="1" applyFont="1" applyFill="1" applyBorder="1" applyAlignment="1">
      <alignment horizontal="center"/>
    </xf>
    <xf numFmtId="166" fontId="7" fillId="5" borderId="0" xfId="0" applyNumberFormat="1" applyFont="1" applyFill="1" applyBorder="1" applyAlignment="1">
      <alignment horizontal="center"/>
    </xf>
    <xf numFmtId="166" fontId="7" fillId="5" borderId="7" xfId="0" applyNumberFormat="1" applyFont="1" applyFill="1" applyBorder="1" applyAlignment="1">
      <alignment horizontal="center"/>
    </xf>
    <xf numFmtId="16" fontId="4" fillId="5" borderId="1" xfId="0" applyNumberFormat="1" applyFont="1" applyFill="1" applyBorder="1" applyAlignment="1">
      <alignment horizontal="left"/>
    </xf>
    <xf numFmtId="16" fontId="0" fillId="11" borderId="1" xfId="0" applyNumberFormat="1" applyFill="1" applyBorder="1" applyAlignment="1">
      <alignment horizontal="left"/>
    </xf>
    <xf numFmtId="0" fontId="4" fillId="11" borderId="6" xfId="0" applyFont="1" applyFill="1" applyBorder="1" applyAlignment="1">
      <alignment horizontal="center"/>
    </xf>
    <xf numFmtId="0" fontId="4" fillId="11" borderId="5" xfId="0" applyFon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/>
    </xf>
    <xf numFmtId="0" fontId="4" fillId="11" borderId="2" xfId="0" applyFont="1" applyFill="1" applyBorder="1" applyAlignment="1">
      <alignment horizontal="center"/>
    </xf>
    <xf numFmtId="166" fontId="4" fillId="11" borderId="0" xfId="0" applyNumberFormat="1" applyFont="1" applyFill="1" applyBorder="1" applyAlignment="1">
      <alignment horizontal="center"/>
    </xf>
    <xf numFmtId="0" fontId="4" fillId="11" borderId="7" xfId="0" applyFont="1" applyFill="1" applyBorder="1" applyAlignment="1">
      <alignment horizontal="center"/>
    </xf>
    <xf numFmtId="0" fontId="4" fillId="11" borderId="3" xfId="0" applyFont="1" applyFill="1" applyBorder="1" applyAlignment="1">
      <alignment horizontal="center"/>
    </xf>
    <xf numFmtId="166" fontId="4" fillId="11" borderId="7" xfId="0" applyNumberFormat="1" applyFont="1" applyFill="1" applyBorder="1" applyAlignment="1">
      <alignment horizontal="center"/>
    </xf>
    <xf numFmtId="16" fontId="13" fillId="11" borderId="11" xfId="0" applyNumberFormat="1" applyFont="1" applyFill="1" applyBorder="1" applyAlignment="1">
      <alignment horizontal="left"/>
    </xf>
    <xf numFmtId="16" fontId="13" fillId="11" borderId="12" xfId="0" applyNumberFormat="1" applyFont="1" applyFill="1" applyBorder="1" applyAlignment="1">
      <alignment horizontal="left"/>
    </xf>
    <xf numFmtId="16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0" borderId="0" xfId="0" applyFont="1"/>
    <xf numFmtId="0" fontId="10" fillId="12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right"/>
    </xf>
    <xf numFmtId="0" fontId="4" fillId="4" borderId="7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16" fontId="8" fillId="4" borderId="12" xfId="0" applyNumberFormat="1" applyFont="1" applyFill="1" applyBorder="1" applyAlignment="1">
      <alignment horizontal="left"/>
    </xf>
    <xf numFmtId="20" fontId="4" fillId="4" borderId="2" xfId="0" applyNumberFormat="1" applyFont="1" applyFill="1" applyBorder="1" applyAlignment="1">
      <alignment horizontal="center"/>
    </xf>
    <xf numFmtId="20" fontId="4" fillId="2" borderId="2" xfId="0" applyNumberFormat="1" applyFont="1" applyFill="1" applyBorder="1" applyAlignment="1">
      <alignment horizontal="center"/>
    </xf>
    <xf numFmtId="16" fontId="8" fillId="0" borderId="11" xfId="0" applyNumberFormat="1" applyFont="1" applyFill="1" applyBorder="1" applyAlignment="1">
      <alignment horizontal="left"/>
    </xf>
    <xf numFmtId="16" fontId="8" fillId="0" borderId="12" xfId="0" applyNumberFormat="1" applyFont="1" applyFill="1" applyBorder="1" applyAlignment="1">
      <alignment horizontal="left"/>
    </xf>
    <xf numFmtId="0" fontId="0" fillId="0" borderId="4" xfId="0" applyBorder="1"/>
    <xf numFmtId="0" fontId="3" fillId="0" borderId="4" xfId="0" applyFont="1" applyBorder="1" applyAlignment="1">
      <alignment horizontal="center"/>
    </xf>
    <xf numFmtId="0" fontId="4" fillId="0" borderId="4" xfId="0" applyFont="1" applyBorder="1"/>
    <xf numFmtId="0" fontId="3" fillId="0" borderId="4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0" fillId="5" borderId="4" xfId="0" applyFill="1" applyBorder="1"/>
    <xf numFmtId="0" fontId="3" fillId="5" borderId="14" xfId="0" applyFont="1" applyFill="1" applyBorder="1" applyAlignment="1">
      <alignment horizontal="center"/>
    </xf>
    <xf numFmtId="0" fontId="1" fillId="4" borderId="4" xfId="0" applyNumberFormat="1" applyFont="1" applyFill="1" applyBorder="1" applyAlignment="1">
      <alignment horizontal="center" vertical="center"/>
    </xf>
    <xf numFmtId="0" fontId="1" fillId="4" borderId="4" xfId="0" quotePrefix="1" applyNumberFormat="1" applyFont="1" applyFill="1" applyBorder="1" applyAlignment="1">
      <alignment horizontal="center" vertical="center"/>
    </xf>
    <xf numFmtId="0" fontId="1" fillId="0" borderId="16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0" borderId="4" xfId="0" quotePrefix="1" applyNumberFormat="1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20" fontId="1" fillId="4" borderId="5" xfId="0" applyNumberFormat="1" applyFont="1" applyFill="1" applyBorder="1" applyAlignment="1">
      <alignment horizontal="center"/>
    </xf>
    <xf numFmtId="20" fontId="1" fillId="2" borderId="2" xfId="0" applyNumberFormat="1" applyFont="1" applyFill="1" applyBorder="1" applyAlignment="1">
      <alignment horizontal="center"/>
    </xf>
    <xf numFmtId="20" fontId="1" fillId="4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165" fontId="1" fillId="0" borderId="4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5" fillId="5" borderId="4" xfId="0" applyFont="1" applyFill="1" applyBorder="1"/>
    <xf numFmtId="0" fontId="15" fillId="0" borderId="4" xfId="0" applyFont="1" applyBorder="1"/>
    <xf numFmtId="0" fontId="15" fillId="0" borderId="4" xfId="0" applyFont="1" applyFill="1" applyBorder="1"/>
    <xf numFmtId="0" fontId="16" fillId="5" borderId="4" xfId="0" applyFont="1" applyFill="1" applyBorder="1"/>
    <xf numFmtId="0" fontId="16" fillId="0" borderId="4" xfId="0" applyFont="1" applyBorder="1"/>
    <xf numFmtId="0" fontId="16" fillId="0" borderId="4" xfId="0" applyFont="1" applyFill="1" applyBorder="1"/>
    <xf numFmtId="0" fontId="3" fillId="5" borderId="4" xfId="0" applyFont="1" applyFill="1" applyBorder="1"/>
    <xf numFmtId="0" fontId="3" fillId="0" borderId="4" xfId="0" applyFont="1" applyBorder="1"/>
    <xf numFmtId="0" fontId="17" fillId="5" borderId="4" xfId="0" applyFont="1" applyFill="1" applyBorder="1"/>
    <xf numFmtId="0" fontId="17" fillId="0" borderId="4" xfId="0" applyFont="1" applyBorder="1"/>
    <xf numFmtId="0" fontId="0" fillId="0" borderId="0" xfId="0" applyBorder="1"/>
    <xf numFmtId="0" fontId="1" fillId="0" borderId="18" xfId="0" applyNumberFormat="1" applyFont="1" applyFill="1" applyBorder="1" applyAlignment="1">
      <alignment horizontal="center" vertical="center"/>
    </xf>
    <xf numFmtId="0" fontId="1" fillId="0" borderId="18" xfId="0" quotePrefix="1" applyNumberFormat="1" applyFont="1" applyFill="1" applyBorder="1" applyAlignment="1">
      <alignment horizontal="center" vertical="center"/>
    </xf>
    <xf numFmtId="0" fontId="1" fillId="0" borderId="16" xfId="0" quotePrefix="1" applyNumberFormat="1" applyFont="1" applyFill="1" applyBorder="1" applyAlignment="1">
      <alignment horizontal="center" vertical="center"/>
    </xf>
    <xf numFmtId="0" fontId="1" fillId="0" borderId="17" xfId="0" applyNumberFormat="1" applyFont="1" applyFill="1" applyBorder="1" applyAlignment="1">
      <alignment horizontal="center" vertical="center"/>
    </xf>
    <xf numFmtId="0" fontId="18" fillId="0" borderId="4" xfId="0" applyNumberFormat="1" applyFont="1" applyFill="1" applyBorder="1" applyAlignment="1">
      <alignment horizontal="center" vertical="center"/>
    </xf>
    <xf numFmtId="0" fontId="18" fillId="4" borderId="4" xfId="0" quotePrefix="1" applyNumberFormat="1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164" fontId="0" fillId="0" borderId="4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" fillId="2" borderId="4" xfId="0" applyFont="1" applyFill="1" applyBorder="1" applyAlignment="1"/>
    <xf numFmtId="16" fontId="18" fillId="4" borderId="1" xfId="0" applyNumberFormat="1" applyFont="1" applyFill="1" applyBorder="1" applyAlignment="1">
      <alignment horizontal="left"/>
    </xf>
    <xf numFmtId="0" fontId="1" fillId="5" borderId="6" xfId="0" applyFont="1" applyFill="1" applyBorder="1" applyAlignment="1">
      <alignment horizontal="center"/>
    </xf>
    <xf numFmtId="20" fontId="1" fillId="5" borderId="5" xfId="0" applyNumberFormat="1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" fontId="8" fillId="5" borderId="11" xfId="0" applyNumberFormat="1" applyFont="1" applyFill="1" applyBorder="1" applyAlignment="1">
      <alignment horizontal="left"/>
    </xf>
    <xf numFmtId="20" fontId="1" fillId="5" borderId="2" xfId="0" applyNumberFormat="1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16" fontId="8" fillId="5" borderId="12" xfId="0" applyNumberFormat="1" applyFont="1" applyFill="1" applyBorder="1" applyAlignment="1">
      <alignment horizontal="left"/>
    </xf>
    <xf numFmtId="16" fontId="0" fillId="14" borderId="1" xfId="0" applyNumberFormat="1" applyFill="1" applyBorder="1" applyAlignment="1">
      <alignment horizontal="left"/>
    </xf>
    <xf numFmtId="0" fontId="4" fillId="14" borderId="6" xfId="0" applyFont="1" applyFill="1" applyBorder="1" applyAlignment="1">
      <alignment horizontal="center"/>
    </xf>
    <xf numFmtId="0" fontId="4" fillId="14" borderId="5" xfId="0" applyFont="1" applyFill="1" applyBorder="1" applyAlignment="1">
      <alignment horizontal="center"/>
    </xf>
    <xf numFmtId="166" fontId="4" fillId="14" borderId="6" xfId="0" applyNumberFormat="1" applyFont="1" applyFill="1" applyBorder="1" applyAlignment="1">
      <alignment horizontal="center"/>
    </xf>
    <xf numFmtId="16" fontId="4" fillId="14" borderId="1" xfId="0" applyNumberFormat="1" applyFont="1" applyFill="1" applyBorder="1" applyAlignment="1">
      <alignment horizontal="left"/>
    </xf>
    <xf numFmtId="166" fontId="7" fillId="14" borderId="6" xfId="0" applyNumberFormat="1" applyFont="1" applyFill="1" applyBorder="1" applyAlignment="1">
      <alignment horizontal="center"/>
    </xf>
    <xf numFmtId="0" fontId="4" fillId="14" borderId="0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166" fontId="4" fillId="14" borderId="0" xfId="0" applyNumberFormat="1" applyFont="1" applyFill="1" applyBorder="1" applyAlignment="1">
      <alignment horizontal="center"/>
    </xf>
    <xf numFmtId="166" fontId="7" fillId="14" borderId="0" xfId="0" applyNumberFormat="1" applyFont="1" applyFill="1" applyBorder="1" applyAlignment="1">
      <alignment horizontal="center"/>
    </xf>
    <xf numFmtId="0" fontId="4" fillId="14" borderId="7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166" fontId="4" fillId="14" borderId="7" xfId="0" applyNumberFormat="1" applyFont="1" applyFill="1" applyBorder="1" applyAlignment="1">
      <alignment horizontal="center"/>
    </xf>
    <xf numFmtId="166" fontId="7" fillId="14" borderId="7" xfId="0" applyNumberFormat="1" applyFont="1" applyFill="1" applyBorder="1" applyAlignment="1">
      <alignment horizontal="center"/>
    </xf>
    <xf numFmtId="0" fontId="1" fillId="14" borderId="6" xfId="0" applyFont="1" applyFill="1" applyBorder="1" applyAlignment="1">
      <alignment horizontal="center"/>
    </xf>
    <xf numFmtId="0" fontId="1" fillId="14" borderId="5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16" fontId="13" fillId="5" borderId="11" xfId="0" applyNumberFormat="1" applyFont="1" applyFill="1" applyBorder="1" applyAlignment="1">
      <alignment horizontal="left"/>
    </xf>
    <xf numFmtId="16" fontId="13" fillId="5" borderId="12" xfId="0" applyNumberFormat="1" applyFont="1" applyFill="1" applyBorder="1" applyAlignment="1">
      <alignment horizontal="left"/>
    </xf>
    <xf numFmtId="20" fontId="1" fillId="3" borderId="2" xfId="0" applyNumberFormat="1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5" borderId="4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6" fillId="8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164" fontId="4" fillId="0" borderId="15" xfId="0" quotePrefix="1" applyNumberFormat="1" applyFont="1" applyFill="1" applyBorder="1" applyAlignment="1">
      <alignment horizontal="center" vertical="center"/>
    </xf>
    <xf numFmtId="165" fontId="4" fillId="0" borderId="15" xfId="0" applyNumberFormat="1" applyFont="1" applyFill="1" applyBorder="1" applyAlignment="1">
      <alignment horizontal="center" vertical="center"/>
    </xf>
    <xf numFmtId="0" fontId="1" fillId="0" borderId="15" xfId="0" applyNumberFormat="1" applyFont="1" applyFill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165" fontId="0" fillId="0" borderId="13" xfId="0" applyNumberFormat="1" applyFill="1" applyBorder="1" applyAlignment="1">
      <alignment horizontal="center" vertical="center"/>
    </xf>
    <xf numFmtId="0" fontId="0" fillId="0" borderId="13" xfId="0" applyNumberForma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1" fillId="0" borderId="15" xfId="0" quotePrefix="1" applyNumberFormat="1" applyFont="1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3" xfId="0" quotePrefix="1" applyNumberFormat="1" applyFill="1" applyBorder="1" applyAlignment="1">
      <alignment horizontal="center" vertical="center"/>
    </xf>
    <xf numFmtId="0" fontId="0" fillId="0" borderId="15" xfId="0" applyNumberFormat="1" applyFill="1" applyBorder="1" applyAlignment="1">
      <alignment horizontal="center" vertical="center"/>
    </xf>
    <xf numFmtId="165" fontId="1" fillId="0" borderId="15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vertical="center"/>
    </xf>
    <xf numFmtId="0" fontId="3" fillId="5" borderId="10" xfId="0" applyFont="1" applyFill="1" applyBorder="1" applyAlignment="1">
      <alignment vertical="center"/>
    </xf>
    <xf numFmtId="0" fontId="3" fillId="5" borderId="9" xfId="0" applyFont="1" applyFill="1" applyBorder="1" applyAlignment="1">
      <alignment vertical="center"/>
    </xf>
    <xf numFmtId="0" fontId="0" fillId="5" borderId="10" xfId="0" applyFill="1" applyBorder="1" applyAlignment="1">
      <alignment vertical="center"/>
    </xf>
    <xf numFmtId="0" fontId="1" fillId="0" borderId="0" xfId="0" applyFont="1"/>
    <xf numFmtId="0" fontId="19" fillId="0" borderId="0" xfId="0" applyFont="1" applyAlignment="1">
      <alignment vertical="center"/>
    </xf>
    <xf numFmtId="0" fontId="1" fillId="3" borderId="0" xfId="0" applyFont="1" applyFill="1" applyBorder="1" applyAlignment="1">
      <alignment horizontal="center"/>
    </xf>
    <xf numFmtId="0" fontId="1" fillId="7" borderId="0" xfId="0" applyFont="1" applyFill="1"/>
    <xf numFmtId="0" fontId="1" fillId="4" borderId="13" xfId="0" applyNumberFormat="1" applyFont="1" applyFill="1" applyBorder="1" applyAlignment="1">
      <alignment horizontal="center" vertical="center"/>
    </xf>
    <xf numFmtId="16" fontId="20" fillId="14" borderId="11" xfId="0" applyNumberFormat="1" applyFont="1" applyFill="1" applyBorder="1" applyAlignment="1">
      <alignment horizontal="left"/>
    </xf>
    <xf numFmtId="16" fontId="20" fillId="14" borderId="12" xfId="0" applyNumberFormat="1" applyFont="1" applyFill="1" applyBorder="1" applyAlignment="1">
      <alignment horizontal="left"/>
    </xf>
    <xf numFmtId="0" fontId="4" fillId="15" borderId="4" xfId="0" applyFont="1" applyFill="1" applyBorder="1" applyAlignment="1">
      <alignment horizontal="center" vertical="center"/>
    </xf>
    <xf numFmtId="0" fontId="1" fillId="0" borderId="4" xfId="1" applyNumberFormat="1" applyFill="1" applyBorder="1" applyAlignment="1">
      <alignment horizontal="center" vertical="center"/>
    </xf>
    <xf numFmtId="0" fontId="1" fillId="0" borderId="4" xfId="1" applyNumberFormat="1" applyFont="1" applyFill="1" applyBorder="1" applyAlignment="1">
      <alignment horizontal="center" vertical="center"/>
    </xf>
    <xf numFmtId="0" fontId="1" fillId="0" borderId="4" xfId="1" quotePrefix="1" applyNumberFormat="1" applyFill="1" applyBorder="1" applyAlignment="1">
      <alignment horizontal="center" vertical="center"/>
    </xf>
    <xf numFmtId="0" fontId="1" fillId="0" borderId="4" xfId="1" quotePrefix="1" applyNumberFormat="1" applyFont="1" applyFill="1" applyBorder="1" applyAlignment="1">
      <alignment horizontal="center" vertical="center"/>
    </xf>
    <xf numFmtId="0" fontId="14" fillId="0" borderId="4" xfId="1" quotePrefix="1" applyNumberFormat="1" applyFont="1" applyFill="1" applyBorder="1" applyAlignment="1">
      <alignment horizontal="center" vertical="center"/>
    </xf>
    <xf numFmtId="0" fontId="1" fillId="0" borderId="15" xfId="1" applyNumberFormat="1" applyFont="1" applyFill="1" applyBorder="1" applyAlignment="1">
      <alignment horizontal="center" vertical="center"/>
    </xf>
    <xf numFmtId="0" fontId="1" fillId="0" borderId="13" xfId="1" applyNumberFormat="1" applyFill="1" applyBorder="1" applyAlignment="1">
      <alignment horizontal="center" vertical="center"/>
    </xf>
    <xf numFmtId="0" fontId="1" fillId="0" borderId="15" xfId="1" quotePrefix="1" applyNumberFormat="1" applyFont="1" applyFill="1" applyBorder="1" applyAlignment="1">
      <alignment horizontal="center" vertical="center"/>
    </xf>
    <xf numFmtId="0" fontId="1" fillId="5" borderId="10" xfId="1" applyFill="1" applyBorder="1" applyAlignment="1">
      <alignment vertical="center"/>
    </xf>
    <xf numFmtId="0" fontId="1" fillId="0" borderId="4" xfId="1" quotePrefix="1" applyNumberFormat="1" applyFont="1" applyFill="1" applyBorder="1" applyAlignment="1">
      <alignment horizontal="center" vertical="center"/>
    </xf>
    <xf numFmtId="0" fontId="1" fillId="0" borderId="15" xfId="1" quotePrefix="1" applyNumberFormat="1" applyFont="1" applyFill="1" applyBorder="1" applyAlignment="1">
      <alignment horizontal="center" vertical="center"/>
    </xf>
    <xf numFmtId="0" fontId="1" fillId="0" borderId="13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1" fillId="14" borderId="7" xfId="0" applyFont="1" applyFill="1" applyBorder="1" applyAlignment="1">
      <alignment horizontal="center"/>
    </xf>
    <xf numFmtId="16" fontId="0" fillId="13" borderId="1" xfId="0" applyNumberFormat="1" applyFill="1" applyBorder="1" applyAlignment="1">
      <alignment horizontal="left"/>
    </xf>
    <xf numFmtId="16" fontId="1" fillId="4" borderId="1" xfId="0" applyNumberFormat="1" applyFont="1" applyFill="1" applyBorder="1" applyAlignment="1">
      <alignment horizontal="left"/>
    </xf>
    <xf numFmtId="0" fontId="1" fillId="3" borderId="7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8" fillId="0" borderId="4" xfId="0" applyNumberFormat="1" applyFont="1" applyFill="1" applyBorder="1" applyAlignment="1">
      <alignment horizontal="center" vertical="center"/>
    </xf>
    <xf numFmtId="0" fontId="8" fillId="0" borderId="4" xfId="0" quotePrefix="1" applyNumberFormat="1" applyFont="1" applyFill="1" applyBorder="1" applyAlignment="1">
      <alignment horizontal="center" vertical="center"/>
    </xf>
    <xf numFmtId="0" fontId="8" fillId="0" borderId="13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vertical="center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13" xfId="0" quotePrefix="1" applyNumberFormat="1" applyFont="1" applyFill="1" applyBorder="1" applyAlignment="1">
      <alignment horizontal="center" vertical="center"/>
    </xf>
    <xf numFmtId="0" fontId="8" fillId="4" borderId="4" xfId="0" applyNumberFormat="1" applyFont="1" applyFill="1" applyBorder="1" applyAlignment="1">
      <alignment horizontal="center" vertical="center"/>
    </xf>
    <xf numFmtId="0" fontId="8" fillId="4" borderId="4" xfId="0" quotePrefix="1" applyNumberFormat="1" applyFont="1" applyFill="1" applyBorder="1" applyAlignment="1">
      <alignment horizontal="center" vertical="center"/>
    </xf>
    <xf numFmtId="0" fontId="8" fillId="4" borderId="13" xfId="0" applyNumberFormat="1" applyFont="1" applyFill="1" applyBorder="1" applyAlignment="1">
      <alignment horizontal="center" vertical="center"/>
    </xf>
    <xf numFmtId="0" fontId="8" fillId="4" borderId="15" xfId="0" applyNumberFormat="1" applyFont="1" applyFill="1" applyBorder="1" applyAlignment="1">
      <alignment horizontal="center" vertical="center"/>
    </xf>
    <xf numFmtId="0" fontId="8" fillId="4" borderId="13" xfId="0" quotePrefix="1" applyNumberFormat="1" applyFont="1" applyFill="1" applyBorder="1" applyAlignment="1">
      <alignment horizontal="center" vertical="center"/>
    </xf>
    <xf numFmtId="0" fontId="8" fillId="5" borderId="9" xfId="0" applyFont="1" applyFill="1" applyBorder="1" applyAlignment="1">
      <alignment vertical="center"/>
    </xf>
    <xf numFmtId="164" fontId="8" fillId="0" borderId="15" xfId="0" quotePrefix="1" applyNumberFormat="1" applyFont="1" applyFill="1" applyBorder="1" applyAlignment="1">
      <alignment horizontal="center" vertical="center"/>
    </xf>
    <xf numFmtId="165" fontId="8" fillId="0" borderId="15" xfId="0" applyNumberFormat="1" applyFont="1" applyFill="1" applyBorder="1" applyAlignment="1">
      <alignment horizontal="center" vertical="center"/>
    </xf>
    <xf numFmtId="0" fontId="8" fillId="0" borderId="15" xfId="1" quotePrefix="1" applyNumberFormat="1" applyFont="1" applyFill="1" applyBorder="1" applyAlignment="1">
      <alignment horizontal="center" vertical="center"/>
    </xf>
    <xf numFmtId="164" fontId="8" fillId="0" borderId="4" xfId="0" applyNumberFormat="1" applyFont="1" applyFill="1" applyBorder="1" applyAlignment="1">
      <alignment horizontal="center" vertical="center"/>
    </xf>
    <xf numFmtId="0" fontId="8" fillId="0" borderId="4" xfId="1" quotePrefix="1" applyNumberFormat="1" applyFont="1" applyFill="1" applyBorder="1" applyAlignment="1">
      <alignment horizontal="center" vertical="center"/>
    </xf>
    <xf numFmtId="164" fontId="8" fillId="0" borderId="13" xfId="0" applyNumberFormat="1" applyFont="1" applyFill="1" applyBorder="1" applyAlignment="1">
      <alignment horizontal="center" vertical="center"/>
    </xf>
    <xf numFmtId="165" fontId="8" fillId="0" borderId="13" xfId="0" applyNumberFormat="1" applyFont="1" applyFill="1" applyBorder="1" applyAlignment="1">
      <alignment horizontal="center" vertical="center"/>
    </xf>
    <xf numFmtId="0" fontId="8" fillId="0" borderId="13" xfId="1" applyNumberFormat="1" applyFont="1" applyFill="1" applyBorder="1" applyAlignment="1">
      <alignment horizontal="center" vertical="center"/>
    </xf>
    <xf numFmtId="0" fontId="8" fillId="5" borderId="10" xfId="1" applyFont="1" applyFill="1" applyBorder="1" applyAlignment="1">
      <alignment vertical="center"/>
    </xf>
    <xf numFmtId="164" fontId="8" fillId="0" borderId="15" xfId="0" applyNumberFormat="1" applyFont="1" applyFill="1" applyBorder="1" applyAlignment="1">
      <alignment horizontal="center" vertical="center"/>
    </xf>
    <xf numFmtId="0" fontId="8" fillId="0" borderId="4" xfId="1" applyNumberFormat="1" applyFont="1" applyFill="1" applyBorder="1" applyAlignment="1">
      <alignment horizontal="center" vertical="center"/>
    </xf>
    <xf numFmtId="0" fontId="8" fillId="0" borderId="15" xfId="1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/>
    </xf>
    <xf numFmtId="0" fontId="3" fillId="2" borderId="9" xfId="0" applyFont="1" applyFill="1" applyBorder="1" applyAlignment="1">
      <alignment horizontal="right"/>
    </xf>
    <xf numFmtId="0" fontId="0" fillId="2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7" borderId="0" xfId="0" applyFill="1" applyAlignment="1">
      <alignment horizontal="center"/>
    </xf>
    <xf numFmtId="0" fontId="6" fillId="8" borderId="0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1" fillId="8" borderId="4" xfId="0" applyFont="1" applyFill="1" applyBorder="1" applyAlignment="1">
      <alignment horizontal="center" vertical="center"/>
    </xf>
    <xf numFmtId="0" fontId="6" fillId="12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top" wrapText="1"/>
    </xf>
    <xf numFmtId="0" fontId="3" fillId="0" borderId="4" xfId="0" applyFont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369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50</xdr:row>
          <xdr:rowOff>66675</xdr:rowOff>
        </xdr:from>
        <xdr:to>
          <xdr:col>1</xdr:col>
          <xdr:colOff>1885950</xdr:colOff>
          <xdr:row>52</xdr:row>
          <xdr:rowOff>57150</xdr:rowOff>
        </xdr:to>
        <xdr:sp macro="" textlink="">
          <xdr:nvSpPr>
            <xdr:cNvPr id="1025" name="Docent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44</xdr:row>
          <xdr:rowOff>95250</xdr:rowOff>
        </xdr:from>
        <xdr:to>
          <xdr:col>1</xdr:col>
          <xdr:colOff>2152650</xdr:colOff>
          <xdr:row>46</xdr:row>
          <xdr:rowOff>47625</xdr:rowOff>
        </xdr:to>
        <xdr:sp macro="" textlink="">
          <xdr:nvSpPr>
            <xdr:cNvPr id="1026" name="Teste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2257425</xdr:colOff>
          <xdr:row>44</xdr:row>
          <xdr:rowOff>95250</xdr:rowOff>
        </xdr:from>
        <xdr:to>
          <xdr:col>2</xdr:col>
          <xdr:colOff>152400</xdr:colOff>
          <xdr:row>46</xdr:row>
          <xdr:rowOff>47625</xdr:rowOff>
        </xdr:to>
        <xdr:sp macro="" textlink="">
          <xdr:nvSpPr>
            <xdr:cNvPr id="1027" name="Teste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47</xdr:row>
          <xdr:rowOff>85725</xdr:rowOff>
        </xdr:from>
        <xdr:to>
          <xdr:col>1</xdr:col>
          <xdr:colOff>2038350</xdr:colOff>
          <xdr:row>49</xdr:row>
          <xdr:rowOff>9525</xdr:rowOff>
        </xdr:to>
        <xdr:sp macro="" textlink="">
          <xdr:nvSpPr>
            <xdr:cNvPr id="1028" name="Exame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2209800</xdr:colOff>
          <xdr:row>47</xdr:row>
          <xdr:rowOff>85725</xdr:rowOff>
        </xdr:from>
        <xdr:to>
          <xdr:col>2</xdr:col>
          <xdr:colOff>85725</xdr:colOff>
          <xdr:row>49</xdr:row>
          <xdr:rowOff>28575</xdr:rowOff>
        </xdr:to>
        <xdr:sp macro="" textlink="">
          <xdr:nvSpPr>
            <xdr:cNvPr id="1029" name="Exame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50</xdr:row>
          <xdr:rowOff>66675</xdr:rowOff>
        </xdr:from>
        <xdr:to>
          <xdr:col>1</xdr:col>
          <xdr:colOff>3248025</xdr:colOff>
          <xdr:row>52</xdr:row>
          <xdr:rowOff>57150</xdr:rowOff>
        </xdr:to>
        <xdr:sp macro="" textlink="">
          <xdr:nvSpPr>
            <xdr:cNvPr id="1030" name="Sala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52</xdr:row>
          <xdr:rowOff>66675</xdr:rowOff>
        </xdr:from>
        <xdr:to>
          <xdr:col>1</xdr:col>
          <xdr:colOff>1885950</xdr:colOff>
          <xdr:row>54</xdr:row>
          <xdr:rowOff>57150</xdr:rowOff>
        </xdr:to>
        <xdr:sp macro="" textlink="">
          <xdr:nvSpPr>
            <xdr:cNvPr id="3073" name="Docentes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46</xdr:row>
          <xdr:rowOff>95250</xdr:rowOff>
        </xdr:from>
        <xdr:to>
          <xdr:col>1</xdr:col>
          <xdr:colOff>2152650</xdr:colOff>
          <xdr:row>48</xdr:row>
          <xdr:rowOff>47625</xdr:rowOff>
        </xdr:to>
        <xdr:sp macro="" textlink="">
          <xdr:nvSpPr>
            <xdr:cNvPr id="3074" name="Teste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2257425</xdr:colOff>
          <xdr:row>46</xdr:row>
          <xdr:rowOff>95250</xdr:rowOff>
        </xdr:from>
        <xdr:to>
          <xdr:col>2</xdr:col>
          <xdr:colOff>152400</xdr:colOff>
          <xdr:row>48</xdr:row>
          <xdr:rowOff>47625</xdr:rowOff>
        </xdr:to>
        <xdr:sp macro="" textlink="">
          <xdr:nvSpPr>
            <xdr:cNvPr id="3075" name="Teste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49</xdr:row>
          <xdr:rowOff>85725</xdr:rowOff>
        </xdr:from>
        <xdr:to>
          <xdr:col>1</xdr:col>
          <xdr:colOff>2038350</xdr:colOff>
          <xdr:row>51</xdr:row>
          <xdr:rowOff>9525</xdr:rowOff>
        </xdr:to>
        <xdr:sp macro="" textlink="">
          <xdr:nvSpPr>
            <xdr:cNvPr id="3076" name="Exame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2209800</xdr:colOff>
          <xdr:row>49</xdr:row>
          <xdr:rowOff>85725</xdr:rowOff>
        </xdr:from>
        <xdr:to>
          <xdr:col>2</xdr:col>
          <xdr:colOff>85725</xdr:colOff>
          <xdr:row>51</xdr:row>
          <xdr:rowOff>28575</xdr:rowOff>
        </xdr:to>
        <xdr:sp macro="" textlink="">
          <xdr:nvSpPr>
            <xdr:cNvPr id="3077" name="Exame2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52</xdr:row>
          <xdr:rowOff>66675</xdr:rowOff>
        </xdr:from>
        <xdr:to>
          <xdr:col>1</xdr:col>
          <xdr:colOff>3248025</xdr:colOff>
          <xdr:row>54</xdr:row>
          <xdr:rowOff>57150</xdr:rowOff>
        </xdr:to>
        <xdr:sp macro="" textlink="">
          <xdr:nvSpPr>
            <xdr:cNvPr id="3078" name="Salas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B149"/>
  <sheetViews>
    <sheetView tabSelected="1" topLeftCell="A73" zoomScale="70" zoomScaleNormal="70" zoomScaleSheetLayoutView="55" zoomScalePageLayoutView="85" workbookViewId="0">
      <selection activeCell="I51" sqref="I51"/>
    </sheetView>
  </sheetViews>
  <sheetFormatPr defaultRowHeight="12.75" x14ac:dyDescent="0.2"/>
  <cols>
    <col min="1" max="1" width="1.7109375" style="1" customWidth="1"/>
    <col min="2" max="2" width="9.140625" style="1" customWidth="1"/>
    <col min="3" max="3" width="7.140625" style="13" customWidth="1"/>
    <col min="4" max="4" width="19.28515625" style="2" customWidth="1"/>
    <col min="5" max="5" width="7.28515625" style="2" customWidth="1"/>
    <col min="6" max="6" width="7.28515625" style="2" hidden="1" customWidth="1"/>
    <col min="7" max="7" width="7.140625" style="1" customWidth="1"/>
    <col min="8" max="8" width="19.28515625" style="2" customWidth="1"/>
    <col min="9" max="9" width="7.28515625" style="2" customWidth="1"/>
    <col min="10" max="10" width="7.28515625" style="2" hidden="1" customWidth="1"/>
    <col min="11" max="11" width="7.140625" style="1" customWidth="1"/>
    <col min="12" max="12" width="19.28515625" style="2" customWidth="1"/>
    <col min="13" max="13" width="7.28515625" style="2" customWidth="1"/>
    <col min="14" max="14" width="7.28515625" style="2" hidden="1" customWidth="1"/>
    <col min="15" max="15" width="7.140625" style="1" customWidth="1"/>
    <col min="16" max="16" width="19.28515625" style="2" customWidth="1"/>
    <col min="17" max="17" width="7.28515625" style="2" customWidth="1"/>
    <col min="18" max="18" width="7.28515625" style="2" hidden="1" customWidth="1"/>
    <col min="19" max="19" width="7.140625" style="1" customWidth="1"/>
    <col min="20" max="20" width="19.28515625" style="2" customWidth="1"/>
    <col min="21" max="21" width="7.28515625" style="2" customWidth="1"/>
    <col min="22" max="22" width="7.28515625" style="2" hidden="1" customWidth="1"/>
    <col min="23" max="23" width="7.140625" style="1" customWidth="1"/>
    <col min="24" max="24" width="19.28515625" style="2" customWidth="1"/>
    <col min="25" max="25" width="7.28515625" style="2" customWidth="1"/>
    <col min="26" max="26" width="7.28515625" style="2" hidden="1" customWidth="1"/>
    <col min="27" max="27" width="1.7109375" style="1" customWidth="1"/>
    <col min="28" max="16384" width="9.140625" style="1"/>
  </cols>
  <sheetData>
    <row r="1" spans="2:28" ht="18" x14ac:dyDescent="0.25">
      <c r="B1" s="274" t="s">
        <v>6</v>
      </c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18"/>
    </row>
    <row r="3" spans="2:28" x14ac:dyDescent="0.2">
      <c r="B3" s="275" t="s">
        <v>105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19"/>
    </row>
    <row r="5" spans="2:28" s="3" customFormat="1" x14ac:dyDescent="0.2">
      <c r="B5" s="14" t="s">
        <v>13</v>
      </c>
      <c r="C5" s="279" t="s">
        <v>0</v>
      </c>
      <c r="D5" s="280"/>
      <c r="E5" s="281"/>
      <c r="F5" s="28"/>
      <c r="G5" s="271" t="s">
        <v>1</v>
      </c>
      <c r="H5" s="271"/>
      <c r="I5" s="271"/>
      <c r="J5" s="14"/>
      <c r="K5" s="271" t="s">
        <v>2</v>
      </c>
      <c r="L5" s="271"/>
      <c r="M5" s="271"/>
      <c r="N5" s="14"/>
      <c r="O5" s="271" t="s">
        <v>3</v>
      </c>
      <c r="P5" s="271"/>
      <c r="Q5" s="271"/>
      <c r="R5" s="14"/>
      <c r="S5" s="271" t="s">
        <v>4</v>
      </c>
      <c r="T5" s="271"/>
      <c r="U5" s="271"/>
      <c r="V5" s="14"/>
      <c r="W5" s="271" t="s">
        <v>5</v>
      </c>
      <c r="X5" s="271"/>
      <c r="Y5" s="271"/>
      <c r="Z5" s="47"/>
    </row>
    <row r="6" spans="2:28" ht="4.5" customHeight="1" x14ac:dyDescent="0.2"/>
    <row r="7" spans="2:28" x14ac:dyDescent="0.2">
      <c r="B7" s="276">
        <v>1</v>
      </c>
      <c r="C7" s="5">
        <v>42625</v>
      </c>
      <c r="D7" s="22"/>
      <c r="E7" s="15"/>
      <c r="F7" s="69">
        <f>C7</f>
        <v>42625</v>
      </c>
      <c r="G7" s="5">
        <f>C7+1</f>
        <v>42626</v>
      </c>
      <c r="H7" s="22"/>
      <c r="I7" s="15"/>
      <c r="J7" s="53">
        <f t="shared" ref="J7:J70" si="0">G7</f>
        <v>42626</v>
      </c>
      <c r="K7" s="5">
        <f>G7+1</f>
        <v>42627</v>
      </c>
      <c r="L7" s="22"/>
      <c r="M7" s="15"/>
      <c r="N7" s="49">
        <f t="shared" ref="N7:N70" si="1">K7</f>
        <v>42627</v>
      </c>
      <c r="O7" s="5">
        <f>K7+1</f>
        <v>42628</v>
      </c>
      <c r="P7" s="22"/>
      <c r="Q7" s="15"/>
      <c r="R7" s="49">
        <f t="shared" ref="R7:R70" si="2">O7</f>
        <v>42628</v>
      </c>
      <c r="S7" s="5">
        <f>O7+1</f>
        <v>42629</v>
      </c>
      <c r="T7" s="22"/>
      <c r="U7" s="15"/>
      <c r="V7" s="49">
        <f t="shared" ref="V7:V70" si="3">S7</f>
        <v>42629</v>
      </c>
      <c r="W7" s="5">
        <f>S7+1</f>
        <v>42630</v>
      </c>
      <c r="X7" s="22"/>
      <c r="Y7" s="15"/>
      <c r="Z7" s="50">
        <f t="shared" ref="Z7:Z70" si="4">W7</f>
        <v>42630</v>
      </c>
    </row>
    <row r="8" spans="2:28" x14ac:dyDescent="0.2">
      <c r="B8" s="277"/>
      <c r="C8" s="30">
        <f>C7</f>
        <v>42625</v>
      </c>
      <c r="D8" s="23"/>
      <c r="E8" s="10"/>
      <c r="F8" s="50">
        <f t="shared" ref="F8:F71" si="5">C8</f>
        <v>42625</v>
      </c>
      <c r="G8" s="30">
        <f>G7</f>
        <v>42626</v>
      </c>
      <c r="H8" s="23"/>
      <c r="I8" s="10"/>
      <c r="J8" s="48">
        <f t="shared" si="0"/>
        <v>42626</v>
      </c>
      <c r="K8" s="30">
        <f>K7</f>
        <v>42627</v>
      </c>
      <c r="L8" s="23"/>
      <c r="M8" s="10"/>
      <c r="N8" s="50">
        <f t="shared" si="1"/>
        <v>42627</v>
      </c>
      <c r="O8" s="30">
        <f>O7</f>
        <v>42628</v>
      </c>
      <c r="P8" s="23"/>
      <c r="Q8" s="10"/>
      <c r="R8" s="50">
        <f t="shared" si="2"/>
        <v>42628</v>
      </c>
      <c r="S8" s="30">
        <f>S7</f>
        <v>42629</v>
      </c>
      <c r="T8" s="23"/>
      <c r="U8" s="10"/>
      <c r="V8" s="50">
        <f t="shared" si="3"/>
        <v>42629</v>
      </c>
      <c r="W8" s="30">
        <f>W7</f>
        <v>42630</v>
      </c>
      <c r="X8" s="23"/>
      <c r="Y8" s="10"/>
      <c r="Z8" s="50">
        <f t="shared" si="4"/>
        <v>42630</v>
      </c>
      <c r="AB8" s="42" t="s">
        <v>72</v>
      </c>
    </row>
    <row r="9" spans="2:28" x14ac:dyDescent="0.2">
      <c r="B9" s="277"/>
      <c r="C9" s="31">
        <f>C8</f>
        <v>42625</v>
      </c>
      <c r="D9" s="23"/>
      <c r="E9" s="6"/>
      <c r="F9" s="50">
        <f t="shared" si="5"/>
        <v>42625</v>
      </c>
      <c r="G9" s="31">
        <f>G8</f>
        <v>42626</v>
      </c>
      <c r="H9" s="23"/>
      <c r="I9" s="6"/>
      <c r="J9" s="48">
        <f t="shared" si="0"/>
        <v>42626</v>
      </c>
      <c r="K9" s="31">
        <f>K8</f>
        <v>42627</v>
      </c>
      <c r="L9" s="23"/>
      <c r="M9" s="6"/>
      <c r="N9" s="51">
        <f t="shared" si="1"/>
        <v>42627</v>
      </c>
      <c r="O9" s="31">
        <f>O8</f>
        <v>42628</v>
      </c>
      <c r="P9" s="23"/>
      <c r="Q9" s="6"/>
      <c r="R9" s="51">
        <f t="shared" si="2"/>
        <v>42628</v>
      </c>
      <c r="S9" s="31">
        <f>S8</f>
        <v>42629</v>
      </c>
      <c r="T9" s="23"/>
      <c r="U9" s="6"/>
      <c r="V9" s="51">
        <f t="shared" si="3"/>
        <v>42629</v>
      </c>
      <c r="W9" s="31">
        <f>W8</f>
        <v>42630</v>
      </c>
      <c r="X9" s="23"/>
      <c r="Y9" s="6"/>
      <c r="Z9" s="51">
        <f t="shared" si="4"/>
        <v>42630</v>
      </c>
      <c r="AB9" s="42" t="s">
        <v>74</v>
      </c>
    </row>
    <row r="10" spans="2:28" x14ac:dyDescent="0.2">
      <c r="B10" s="277"/>
      <c r="C10" s="31">
        <f>C9</f>
        <v>42625</v>
      </c>
      <c r="D10" s="23"/>
      <c r="E10" s="6"/>
      <c r="F10" s="50">
        <f t="shared" si="5"/>
        <v>42625</v>
      </c>
      <c r="G10" s="31">
        <f>G9</f>
        <v>42626</v>
      </c>
      <c r="H10" s="23"/>
      <c r="I10" s="6"/>
      <c r="J10" s="48">
        <f t="shared" si="0"/>
        <v>42626</v>
      </c>
      <c r="K10" s="31">
        <f>K9</f>
        <v>42627</v>
      </c>
      <c r="L10" s="23"/>
      <c r="M10" s="6"/>
      <c r="N10" s="51">
        <f t="shared" si="1"/>
        <v>42627</v>
      </c>
      <c r="O10" s="31">
        <f>O9</f>
        <v>42628</v>
      </c>
      <c r="P10" s="23"/>
      <c r="Q10" s="6"/>
      <c r="R10" s="51">
        <f t="shared" si="2"/>
        <v>42628</v>
      </c>
      <c r="S10" s="31">
        <f>S9</f>
        <v>42629</v>
      </c>
      <c r="T10" s="23"/>
      <c r="U10" s="6"/>
      <c r="V10" s="51">
        <f t="shared" si="3"/>
        <v>42629</v>
      </c>
      <c r="W10" s="31">
        <f>W9</f>
        <v>42630</v>
      </c>
      <c r="X10" s="23"/>
      <c r="Y10" s="6"/>
      <c r="Z10" s="51">
        <f t="shared" si="4"/>
        <v>42630</v>
      </c>
      <c r="AB10" s="42" t="s">
        <v>80</v>
      </c>
    </row>
    <row r="11" spans="2:28" x14ac:dyDescent="0.2">
      <c r="B11" s="278"/>
      <c r="C11" s="32">
        <f>C10</f>
        <v>42625</v>
      </c>
      <c r="D11" s="24"/>
      <c r="E11" s="8"/>
      <c r="F11" s="50">
        <f t="shared" si="5"/>
        <v>42625</v>
      </c>
      <c r="G11" s="32">
        <f>G10</f>
        <v>42626</v>
      </c>
      <c r="H11" s="24"/>
      <c r="I11" s="8"/>
      <c r="J11" s="48">
        <f t="shared" si="0"/>
        <v>42626</v>
      </c>
      <c r="K11" s="32">
        <f>K10</f>
        <v>42627</v>
      </c>
      <c r="L11" s="24"/>
      <c r="M11" s="8"/>
      <c r="N11" s="52">
        <f t="shared" si="1"/>
        <v>42627</v>
      </c>
      <c r="O11" s="32">
        <f>O10</f>
        <v>42628</v>
      </c>
      <c r="P11" s="24"/>
      <c r="Q11" s="8"/>
      <c r="R11" s="52">
        <f t="shared" si="2"/>
        <v>42628</v>
      </c>
      <c r="S11" s="32">
        <f>S10</f>
        <v>42629</v>
      </c>
      <c r="T11" s="24"/>
      <c r="U11" s="8"/>
      <c r="V11" s="52">
        <f t="shared" si="3"/>
        <v>42629</v>
      </c>
      <c r="W11" s="32">
        <f>W10</f>
        <v>42630</v>
      </c>
      <c r="X11" s="24"/>
      <c r="Y11" s="8"/>
      <c r="Z11" s="51">
        <f t="shared" si="4"/>
        <v>42630</v>
      </c>
      <c r="AB11" s="42" t="s">
        <v>66</v>
      </c>
    </row>
    <row r="12" spans="2:28" x14ac:dyDescent="0.2">
      <c r="B12" s="264">
        <f>B7+1</f>
        <v>2</v>
      </c>
      <c r="C12" s="5">
        <f>C7+7</f>
        <v>42632</v>
      </c>
      <c r="D12" s="22"/>
      <c r="E12" s="15"/>
      <c r="F12" s="49">
        <f t="shared" si="5"/>
        <v>42632</v>
      </c>
      <c r="G12" s="5">
        <f>C12+1</f>
        <v>42633</v>
      </c>
      <c r="H12" s="22"/>
      <c r="I12" s="15"/>
      <c r="J12" s="49">
        <f t="shared" si="0"/>
        <v>42633</v>
      </c>
      <c r="K12" s="5">
        <f>G12+1</f>
        <v>42634</v>
      </c>
      <c r="L12" s="22"/>
      <c r="M12" s="15"/>
      <c r="N12" s="49">
        <f t="shared" si="1"/>
        <v>42634</v>
      </c>
      <c r="O12" s="5">
        <f>K12+1</f>
        <v>42635</v>
      </c>
      <c r="P12" s="22"/>
      <c r="Q12" s="15"/>
      <c r="R12" s="49">
        <f t="shared" si="2"/>
        <v>42635</v>
      </c>
      <c r="S12" s="5">
        <f>O12+1</f>
        <v>42636</v>
      </c>
      <c r="T12" s="22"/>
      <c r="U12" s="15"/>
      <c r="V12" s="49">
        <f t="shared" si="3"/>
        <v>42636</v>
      </c>
      <c r="W12" s="5">
        <f>S12+1</f>
        <v>42637</v>
      </c>
      <c r="X12" s="22"/>
      <c r="Y12" s="15"/>
      <c r="Z12" s="50">
        <f t="shared" si="4"/>
        <v>42637</v>
      </c>
      <c r="AB12" s="42" t="s">
        <v>73</v>
      </c>
    </row>
    <row r="13" spans="2:28" x14ac:dyDescent="0.2">
      <c r="B13" s="265"/>
      <c r="C13" s="30">
        <f t="shared" ref="C13:C76" si="6">C12</f>
        <v>42632</v>
      </c>
      <c r="D13" s="23"/>
      <c r="E13" s="10"/>
      <c r="F13" s="50">
        <f t="shared" si="5"/>
        <v>42632</v>
      </c>
      <c r="G13" s="30">
        <f>G12</f>
        <v>42633</v>
      </c>
      <c r="H13" s="23"/>
      <c r="I13" s="10"/>
      <c r="J13" s="50">
        <f t="shared" si="0"/>
        <v>42633</v>
      </c>
      <c r="K13" s="30">
        <f>K12</f>
        <v>42634</v>
      </c>
      <c r="L13" s="23"/>
      <c r="M13" s="10"/>
      <c r="N13" s="50">
        <f t="shared" si="1"/>
        <v>42634</v>
      </c>
      <c r="O13" s="30">
        <f>O12</f>
        <v>42635</v>
      </c>
      <c r="P13" s="23"/>
      <c r="Q13" s="10"/>
      <c r="R13" s="50">
        <f t="shared" si="2"/>
        <v>42635</v>
      </c>
      <c r="S13" s="30">
        <f>S12</f>
        <v>42636</v>
      </c>
      <c r="T13" s="23"/>
      <c r="U13" s="10"/>
      <c r="V13" s="50">
        <f t="shared" si="3"/>
        <v>42636</v>
      </c>
      <c r="W13" s="30">
        <f>W12</f>
        <v>42637</v>
      </c>
      <c r="X13" s="23"/>
      <c r="Y13" s="10"/>
      <c r="Z13" s="50">
        <f t="shared" si="4"/>
        <v>42637</v>
      </c>
      <c r="AB13" s="42" t="s">
        <v>69</v>
      </c>
    </row>
    <row r="14" spans="2:28" x14ac:dyDescent="0.2">
      <c r="B14" s="265"/>
      <c r="C14" s="31">
        <f t="shared" si="6"/>
        <v>42632</v>
      </c>
      <c r="D14" s="23"/>
      <c r="E14" s="6"/>
      <c r="F14" s="51">
        <f t="shared" si="5"/>
        <v>42632</v>
      </c>
      <c r="G14" s="31">
        <f>G13</f>
        <v>42633</v>
      </c>
      <c r="H14" s="23"/>
      <c r="I14" s="6"/>
      <c r="J14" s="51">
        <f t="shared" si="0"/>
        <v>42633</v>
      </c>
      <c r="K14" s="31">
        <f>K13</f>
        <v>42634</v>
      </c>
      <c r="L14" s="23"/>
      <c r="M14" s="6"/>
      <c r="N14" s="51">
        <f t="shared" si="1"/>
        <v>42634</v>
      </c>
      <c r="O14" s="31">
        <f>O13</f>
        <v>42635</v>
      </c>
      <c r="P14" s="23"/>
      <c r="Q14" s="6"/>
      <c r="R14" s="51">
        <f t="shared" si="2"/>
        <v>42635</v>
      </c>
      <c r="S14" s="31">
        <f>S13</f>
        <v>42636</v>
      </c>
      <c r="T14" s="23"/>
      <c r="U14" s="6"/>
      <c r="V14" s="51">
        <f t="shared" si="3"/>
        <v>42636</v>
      </c>
      <c r="W14" s="31">
        <f>W13</f>
        <v>42637</v>
      </c>
      <c r="X14" s="23"/>
      <c r="Y14" s="6"/>
      <c r="Z14" s="51">
        <f t="shared" si="4"/>
        <v>42637</v>
      </c>
      <c r="AB14"/>
    </row>
    <row r="15" spans="2:28" x14ac:dyDescent="0.2">
      <c r="B15" s="265"/>
      <c r="C15" s="31">
        <f t="shared" si="6"/>
        <v>42632</v>
      </c>
      <c r="D15" s="23"/>
      <c r="E15" s="6"/>
      <c r="F15" s="51">
        <f t="shared" si="5"/>
        <v>42632</v>
      </c>
      <c r="G15" s="31">
        <f>G14</f>
        <v>42633</v>
      </c>
      <c r="H15" s="23"/>
      <c r="I15" s="6"/>
      <c r="J15" s="51">
        <f t="shared" si="0"/>
        <v>42633</v>
      </c>
      <c r="K15" s="31">
        <f>K14</f>
        <v>42634</v>
      </c>
      <c r="L15" s="23"/>
      <c r="M15" s="6"/>
      <c r="N15" s="51">
        <f t="shared" si="1"/>
        <v>42634</v>
      </c>
      <c r="O15" s="31">
        <f>O14</f>
        <v>42635</v>
      </c>
      <c r="P15" s="23"/>
      <c r="Q15" s="6"/>
      <c r="R15" s="51">
        <f t="shared" si="2"/>
        <v>42635</v>
      </c>
      <c r="S15" s="31">
        <f>S14</f>
        <v>42636</v>
      </c>
      <c r="T15" s="23"/>
      <c r="U15" s="6"/>
      <c r="V15" s="51">
        <f t="shared" si="3"/>
        <v>42636</v>
      </c>
      <c r="W15" s="31">
        <f>W14</f>
        <v>42637</v>
      </c>
      <c r="X15" s="23"/>
      <c r="Y15" s="6"/>
      <c r="Z15" s="51">
        <f t="shared" si="4"/>
        <v>42637</v>
      </c>
      <c r="AB15"/>
    </row>
    <row r="16" spans="2:28" x14ac:dyDescent="0.2">
      <c r="B16" s="266"/>
      <c r="C16" s="32">
        <f t="shared" si="6"/>
        <v>42632</v>
      </c>
      <c r="D16" s="24"/>
      <c r="E16" s="8"/>
      <c r="F16" s="52">
        <f t="shared" si="5"/>
        <v>42632</v>
      </c>
      <c r="G16" s="32">
        <f>G15</f>
        <v>42633</v>
      </c>
      <c r="H16" s="24"/>
      <c r="I16" s="8"/>
      <c r="J16" s="52">
        <f t="shared" si="0"/>
        <v>42633</v>
      </c>
      <c r="K16" s="32">
        <f>K15</f>
        <v>42634</v>
      </c>
      <c r="L16" s="24"/>
      <c r="M16" s="8"/>
      <c r="N16" s="52">
        <f t="shared" si="1"/>
        <v>42634</v>
      </c>
      <c r="O16" s="32">
        <f>O15</f>
        <v>42635</v>
      </c>
      <c r="P16" s="24"/>
      <c r="Q16" s="8"/>
      <c r="R16" s="52">
        <f t="shared" si="2"/>
        <v>42635</v>
      </c>
      <c r="S16" s="32">
        <f>S15</f>
        <v>42636</v>
      </c>
      <c r="T16" s="24"/>
      <c r="U16" s="8"/>
      <c r="V16" s="52">
        <f t="shared" si="3"/>
        <v>42636</v>
      </c>
      <c r="W16" s="32">
        <f>W15</f>
        <v>42637</v>
      </c>
      <c r="X16" s="24"/>
      <c r="Y16" s="8"/>
      <c r="Z16" s="51">
        <f t="shared" si="4"/>
        <v>42637</v>
      </c>
      <c r="AB16" s="42" t="s">
        <v>62</v>
      </c>
    </row>
    <row r="17" spans="2:28" x14ac:dyDescent="0.2">
      <c r="B17" s="264">
        <f t="shared" ref="B17" si="7">B12+1</f>
        <v>3</v>
      </c>
      <c r="C17" s="5">
        <f>C12+7</f>
        <v>42639</v>
      </c>
      <c r="D17" s="22"/>
      <c r="E17" s="15"/>
      <c r="F17" s="49">
        <f t="shared" si="5"/>
        <v>42639</v>
      </c>
      <c r="G17" s="5">
        <f>C17+1</f>
        <v>42640</v>
      </c>
      <c r="H17" s="22"/>
      <c r="I17" s="15"/>
      <c r="J17" s="49">
        <f t="shared" si="0"/>
        <v>42640</v>
      </c>
      <c r="K17" s="5">
        <f>G17+1</f>
        <v>42641</v>
      </c>
      <c r="L17" s="22"/>
      <c r="M17" s="15"/>
      <c r="N17" s="49">
        <f t="shared" si="1"/>
        <v>42641</v>
      </c>
      <c r="O17" s="5">
        <f>K17+1</f>
        <v>42642</v>
      </c>
      <c r="P17" s="22"/>
      <c r="Q17" s="15"/>
      <c r="R17" s="49">
        <f t="shared" si="2"/>
        <v>42642</v>
      </c>
      <c r="S17" s="5">
        <f>O17+1</f>
        <v>42643</v>
      </c>
      <c r="T17" s="22"/>
      <c r="U17" s="15"/>
      <c r="V17" s="49">
        <f t="shared" si="3"/>
        <v>42643</v>
      </c>
      <c r="W17" s="5">
        <f>S17+1</f>
        <v>42644</v>
      </c>
      <c r="X17" s="22"/>
      <c r="Y17" s="15"/>
      <c r="Z17" s="50">
        <f t="shared" si="4"/>
        <v>42644</v>
      </c>
      <c r="AB17" s="42" t="s">
        <v>81</v>
      </c>
    </row>
    <row r="18" spans="2:28" x14ac:dyDescent="0.2">
      <c r="B18" s="265"/>
      <c r="C18" s="30">
        <f t="shared" si="6"/>
        <v>42639</v>
      </c>
      <c r="D18" s="23"/>
      <c r="E18" s="10"/>
      <c r="F18" s="50">
        <f t="shared" si="5"/>
        <v>42639</v>
      </c>
      <c r="G18" s="30">
        <f>G17</f>
        <v>42640</v>
      </c>
      <c r="H18" s="23"/>
      <c r="I18" s="10"/>
      <c r="J18" s="50">
        <f t="shared" si="0"/>
        <v>42640</v>
      </c>
      <c r="K18" s="30">
        <f>K17</f>
        <v>42641</v>
      </c>
      <c r="L18" s="23"/>
      <c r="M18" s="10"/>
      <c r="N18" s="50">
        <f t="shared" si="1"/>
        <v>42641</v>
      </c>
      <c r="O18" s="30">
        <f>O17</f>
        <v>42642</v>
      </c>
      <c r="P18" s="23"/>
      <c r="Q18" s="10"/>
      <c r="R18" s="50">
        <f t="shared" si="2"/>
        <v>42642</v>
      </c>
      <c r="S18" s="30">
        <f>S17</f>
        <v>42643</v>
      </c>
      <c r="T18" s="23"/>
      <c r="U18" s="10"/>
      <c r="V18" s="50">
        <f t="shared" si="3"/>
        <v>42643</v>
      </c>
      <c r="W18" s="30">
        <f>W17</f>
        <v>42644</v>
      </c>
      <c r="X18" s="23"/>
      <c r="Y18" s="10"/>
      <c r="Z18" s="50">
        <f t="shared" si="4"/>
        <v>42644</v>
      </c>
      <c r="AB18" s="42" t="s">
        <v>67</v>
      </c>
    </row>
    <row r="19" spans="2:28" x14ac:dyDescent="0.2">
      <c r="B19" s="265"/>
      <c r="C19" s="31">
        <f t="shared" si="6"/>
        <v>42639</v>
      </c>
      <c r="D19" s="23"/>
      <c r="E19" s="6"/>
      <c r="F19" s="51">
        <f t="shared" si="5"/>
        <v>42639</v>
      </c>
      <c r="G19" s="31">
        <f>G18</f>
        <v>42640</v>
      </c>
      <c r="H19" s="23"/>
      <c r="I19" s="6"/>
      <c r="J19" s="51">
        <f t="shared" si="0"/>
        <v>42640</v>
      </c>
      <c r="K19" s="31">
        <f>K18</f>
        <v>42641</v>
      </c>
      <c r="L19" s="23"/>
      <c r="M19" s="6"/>
      <c r="N19" s="51">
        <f t="shared" si="1"/>
        <v>42641</v>
      </c>
      <c r="O19" s="31">
        <f>O18</f>
        <v>42642</v>
      </c>
      <c r="P19" s="23"/>
      <c r="Q19" s="6"/>
      <c r="R19" s="51">
        <f t="shared" si="2"/>
        <v>42642</v>
      </c>
      <c r="S19" s="31">
        <f>S18</f>
        <v>42643</v>
      </c>
      <c r="T19" s="23"/>
      <c r="U19" s="6"/>
      <c r="V19" s="51">
        <f t="shared" si="3"/>
        <v>42643</v>
      </c>
      <c r="W19" s="31">
        <f>W18</f>
        <v>42644</v>
      </c>
      <c r="X19" s="23"/>
      <c r="Y19" s="6"/>
      <c r="Z19" s="51">
        <f t="shared" si="4"/>
        <v>42644</v>
      </c>
      <c r="AB19" s="42" t="s">
        <v>65</v>
      </c>
    </row>
    <row r="20" spans="2:28" x14ac:dyDescent="0.2">
      <c r="B20" s="265"/>
      <c r="C20" s="31">
        <f t="shared" si="6"/>
        <v>42639</v>
      </c>
      <c r="D20" s="23"/>
      <c r="E20" s="6"/>
      <c r="F20" s="51">
        <f t="shared" si="5"/>
        <v>42639</v>
      </c>
      <c r="G20" s="31">
        <f>G19</f>
        <v>42640</v>
      </c>
      <c r="H20" s="23"/>
      <c r="I20" s="6"/>
      <c r="J20" s="51">
        <f t="shared" si="0"/>
        <v>42640</v>
      </c>
      <c r="K20" s="31">
        <f>K19</f>
        <v>42641</v>
      </c>
      <c r="L20" s="23"/>
      <c r="M20" s="6"/>
      <c r="N20" s="51">
        <f t="shared" si="1"/>
        <v>42641</v>
      </c>
      <c r="O20" s="31">
        <f>O19</f>
        <v>42642</v>
      </c>
      <c r="P20" s="23"/>
      <c r="Q20" s="6"/>
      <c r="R20" s="51">
        <f t="shared" si="2"/>
        <v>42642</v>
      </c>
      <c r="S20" s="31">
        <f>S19</f>
        <v>42643</v>
      </c>
      <c r="T20" s="23"/>
      <c r="U20" s="6"/>
      <c r="V20" s="51">
        <f t="shared" si="3"/>
        <v>42643</v>
      </c>
      <c r="W20" s="31">
        <f>W19</f>
        <v>42644</v>
      </c>
      <c r="X20" s="23"/>
      <c r="Y20" s="6"/>
      <c r="Z20" s="51">
        <f t="shared" si="4"/>
        <v>42644</v>
      </c>
      <c r="AB20" s="42" t="s">
        <v>75</v>
      </c>
    </row>
    <row r="21" spans="2:28" x14ac:dyDescent="0.2">
      <c r="B21" s="266"/>
      <c r="C21" s="32">
        <f t="shared" si="6"/>
        <v>42639</v>
      </c>
      <c r="D21" s="24"/>
      <c r="E21" s="8"/>
      <c r="F21" s="52">
        <f t="shared" si="5"/>
        <v>42639</v>
      </c>
      <c r="G21" s="32">
        <f>G20</f>
        <v>42640</v>
      </c>
      <c r="H21" s="24"/>
      <c r="I21" s="8"/>
      <c r="J21" s="52">
        <f t="shared" si="0"/>
        <v>42640</v>
      </c>
      <c r="K21" s="32">
        <f>K20</f>
        <v>42641</v>
      </c>
      <c r="L21" s="24"/>
      <c r="M21" s="8"/>
      <c r="N21" s="52">
        <f t="shared" si="1"/>
        <v>42641</v>
      </c>
      <c r="O21" s="32">
        <f>O20</f>
        <v>42642</v>
      </c>
      <c r="P21" s="24"/>
      <c r="Q21" s="8"/>
      <c r="R21" s="52">
        <f t="shared" si="2"/>
        <v>42642</v>
      </c>
      <c r="S21" s="32">
        <f>S20</f>
        <v>42643</v>
      </c>
      <c r="T21" s="24"/>
      <c r="U21" s="8"/>
      <c r="V21" s="52">
        <f t="shared" si="3"/>
        <v>42643</v>
      </c>
      <c r="W21" s="32">
        <f>W20</f>
        <v>42644</v>
      </c>
      <c r="X21" s="24"/>
      <c r="Y21" s="8"/>
      <c r="Z21" s="51">
        <f t="shared" si="4"/>
        <v>42644</v>
      </c>
      <c r="AB21" s="42" t="s">
        <v>76</v>
      </c>
    </row>
    <row r="22" spans="2:28" x14ac:dyDescent="0.2">
      <c r="B22" s="264">
        <f t="shared" ref="B22" si="8">B17+1</f>
        <v>4</v>
      </c>
      <c r="C22" s="5">
        <f>C17+7</f>
        <v>42646</v>
      </c>
      <c r="D22" s="22"/>
      <c r="E22" s="15"/>
      <c r="F22" s="49">
        <f t="shared" si="5"/>
        <v>42646</v>
      </c>
      <c r="G22" s="5">
        <f>C22+1</f>
        <v>42647</v>
      </c>
      <c r="H22" s="22"/>
      <c r="I22" s="15"/>
      <c r="J22" s="49">
        <f t="shared" si="0"/>
        <v>42647</v>
      </c>
      <c r="K22" s="233">
        <f>G22+1</f>
        <v>42648</v>
      </c>
      <c r="L22" s="113" t="s">
        <v>137</v>
      </c>
      <c r="M22" s="15"/>
      <c r="N22" s="49">
        <f t="shared" si="1"/>
        <v>42648</v>
      </c>
      <c r="O22" s="5">
        <f>K22+1</f>
        <v>42649</v>
      </c>
      <c r="P22" s="22"/>
      <c r="Q22" s="15"/>
      <c r="R22" s="49">
        <f t="shared" si="2"/>
        <v>42649</v>
      </c>
      <c r="S22" s="5">
        <f>O22+1</f>
        <v>42650</v>
      </c>
      <c r="T22" s="22"/>
      <c r="U22" s="15"/>
      <c r="V22" s="49">
        <f t="shared" si="3"/>
        <v>42650</v>
      </c>
      <c r="W22" s="5">
        <f>S22+1</f>
        <v>42651</v>
      </c>
      <c r="X22" s="22"/>
      <c r="Y22" s="15"/>
      <c r="Z22" s="50">
        <f t="shared" si="4"/>
        <v>42651</v>
      </c>
      <c r="AB22" s="42" t="s">
        <v>82</v>
      </c>
    </row>
    <row r="23" spans="2:28" x14ac:dyDescent="0.2">
      <c r="B23" s="265"/>
      <c r="C23" s="30">
        <f t="shared" si="6"/>
        <v>42646</v>
      </c>
      <c r="D23" s="23"/>
      <c r="E23" s="10"/>
      <c r="F23" s="50">
        <f t="shared" si="5"/>
        <v>42646</v>
      </c>
      <c r="G23" s="30">
        <f>G22</f>
        <v>42647</v>
      </c>
      <c r="H23" s="23"/>
      <c r="I23" s="10"/>
      <c r="J23" s="50">
        <f t="shared" si="0"/>
        <v>42647</v>
      </c>
      <c r="K23" s="30">
        <f>K22</f>
        <v>42648</v>
      </c>
      <c r="L23" s="114" t="s">
        <v>137</v>
      </c>
      <c r="M23" s="10"/>
      <c r="N23" s="50">
        <f t="shared" si="1"/>
        <v>42648</v>
      </c>
      <c r="O23" s="30">
        <f>O22</f>
        <v>42649</v>
      </c>
      <c r="P23" s="23"/>
      <c r="Q23" s="10"/>
      <c r="R23" s="50">
        <f t="shared" si="2"/>
        <v>42649</v>
      </c>
      <c r="S23" s="30">
        <f>S22</f>
        <v>42650</v>
      </c>
      <c r="T23" s="23"/>
      <c r="U23" s="10"/>
      <c r="V23" s="50">
        <f t="shared" si="3"/>
        <v>42650</v>
      </c>
      <c r="W23" s="30">
        <f>W22</f>
        <v>42651</v>
      </c>
      <c r="X23" s="23"/>
      <c r="Y23" s="10"/>
      <c r="Z23" s="50">
        <f t="shared" si="4"/>
        <v>42651</v>
      </c>
      <c r="AB23"/>
    </row>
    <row r="24" spans="2:28" x14ac:dyDescent="0.2">
      <c r="B24" s="265"/>
      <c r="C24" s="31">
        <f t="shared" si="6"/>
        <v>42646</v>
      </c>
      <c r="D24" s="23"/>
      <c r="E24" s="6"/>
      <c r="F24" s="51">
        <f t="shared" si="5"/>
        <v>42646</v>
      </c>
      <c r="G24" s="31">
        <f>G23</f>
        <v>42647</v>
      </c>
      <c r="H24" s="23"/>
      <c r="I24" s="6"/>
      <c r="J24" s="51">
        <f t="shared" si="0"/>
        <v>42647</v>
      </c>
      <c r="K24" s="30">
        <f>K23</f>
        <v>42648</v>
      </c>
      <c r="L24" s="23" t="s">
        <v>137</v>
      </c>
      <c r="M24" s="6"/>
      <c r="N24" s="51">
        <f t="shared" si="1"/>
        <v>42648</v>
      </c>
      <c r="O24" s="31">
        <f>O23</f>
        <v>42649</v>
      </c>
      <c r="P24" s="23"/>
      <c r="Q24" s="6"/>
      <c r="R24" s="51">
        <f t="shared" si="2"/>
        <v>42649</v>
      </c>
      <c r="S24" s="30">
        <f>S23</f>
        <v>42650</v>
      </c>
      <c r="T24" s="23"/>
      <c r="U24" s="10"/>
      <c r="V24" s="51">
        <f t="shared" si="3"/>
        <v>42650</v>
      </c>
      <c r="W24" s="31">
        <f>W23</f>
        <v>42651</v>
      </c>
      <c r="X24" s="23"/>
      <c r="Y24" s="6"/>
      <c r="Z24" s="51">
        <f t="shared" si="4"/>
        <v>42651</v>
      </c>
      <c r="AB24"/>
    </row>
    <row r="25" spans="2:28" x14ac:dyDescent="0.2">
      <c r="B25" s="265"/>
      <c r="C25" s="31">
        <f t="shared" si="6"/>
        <v>42646</v>
      </c>
      <c r="D25" s="23"/>
      <c r="E25" s="6"/>
      <c r="F25" s="51">
        <f t="shared" si="5"/>
        <v>42646</v>
      </c>
      <c r="G25" s="31">
        <f>G24</f>
        <v>42647</v>
      </c>
      <c r="H25" s="23"/>
      <c r="I25" s="6"/>
      <c r="J25" s="51">
        <f t="shared" si="0"/>
        <v>42647</v>
      </c>
      <c r="K25" s="30">
        <f>K24</f>
        <v>42648</v>
      </c>
      <c r="L25" s="114" t="s">
        <v>137</v>
      </c>
      <c r="M25" s="6"/>
      <c r="N25" s="51">
        <f t="shared" si="1"/>
        <v>42648</v>
      </c>
      <c r="O25" s="31">
        <f>O24</f>
        <v>42649</v>
      </c>
      <c r="P25" s="23"/>
      <c r="Q25" s="6"/>
      <c r="R25" s="51">
        <f t="shared" si="2"/>
        <v>42649</v>
      </c>
      <c r="S25" s="30">
        <f>S24</f>
        <v>42650</v>
      </c>
      <c r="T25" s="23"/>
      <c r="U25" s="10"/>
      <c r="V25" s="51">
        <f t="shared" si="3"/>
        <v>42650</v>
      </c>
      <c r="W25" s="31">
        <f>W24</f>
        <v>42651</v>
      </c>
      <c r="X25" s="23"/>
      <c r="Y25" s="6"/>
      <c r="Z25" s="51">
        <f t="shared" si="4"/>
        <v>42651</v>
      </c>
      <c r="AB25"/>
    </row>
    <row r="26" spans="2:28" x14ac:dyDescent="0.2">
      <c r="B26" s="266"/>
      <c r="C26" s="32">
        <f t="shared" si="6"/>
        <v>42646</v>
      </c>
      <c r="D26" s="24"/>
      <c r="E26" s="8"/>
      <c r="F26" s="52">
        <f t="shared" si="5"/>
        <v>42646</v>
      </c>
      <c r="G26" s="32">
        <f>G25</f>
        <v>42647</v>
      </c>
      <c r="H26" s="122"/>
      <c r="I26" s="8"/>
      <c r="J26" s="52">
        <f t="shared" si="0"/>
        <v>42647</v>
      </c>
      <c r="K26" s="98">
        <f>K25</f>
        <v>42648</v>
      </c>
      <c r="L26" s="24" t="s">
        <v>137</v>
      </c>
      <c r="M26" s="124"/>
      <c r="N26" s="52">
        <f t="shared" si="1"/>
        <v>42648</v>
      </c>
      <c r="O26" s="32">
        <f>O25</f>
        <v>42649</v>
      </c>
      <c r="P26" s="24"/>
      <c r="Q26" s="8"/>
      <c r="R26" s="52">
        <f t="shared" si="2"/>
        <v>42649</v>
      </c>
      <c r="S26" s="98">
        <f>S25</f>
        <v>42650</v>
      </c>
      <c r="T26" s="96"/>
      <c r="U26" s="97"/>
      <c r="V26" s="52">
        <f t="shared" si="3"/>
        <v>42650</v>
      </c>
      <c r="W26" s="32">
        <f>W25</f>
        <v>42651</v>
      </c>
      <c r="X26" s="24"/>
      <c r="Y26" s="8"/>
      <c r="Z26" s="51">
        <f t="shared" si="4"/>
        <v>42651</v>
      </c>
      <c r="AB26"/>
    </row>
    <row r="27" spans="2:28" x14ac:dyDescent="0.2">
      <c r="B27" s="264">
        <f t="shared" ref="B27" si="9">B22+1</f>
        <v>5</v>
      </c>
      <c r="C27" s="5">
        <f>C22+7</f>
        <v>42653</v>
      </c>
      <c r="D27" s="22"/>
      <c r="E27" s="15"/>
      <c r="F27" s="49">
        <f t="shared" si="5"/>
        <v>42653</v>
      </c>
      <c r="G27" s="5">
        <f>C27+1</f>
        <v>42654</v>
      </c>
      <c r="H27" s="22"/>
      <c r="I27" s="15"/>
      <c r="J27" s="49">
        <f t="shared" si="0"/>
        <v>42654</v>
      </c>
      <c r="K27" s="5">
        <f>G27+1</f>
        <v>42655</v>
      </c>
      <c r="L27" s="22"/>
      <c r="M27" s="15"/>
      <c r="N27" s="49">
        <f t="shared" si="1"/>
        <v>42655</v>
      </c>
      <c r="O27" s="5">
        <f>K27+1</f>
        <v>42656</v>
      </c>
      <c r="P27" s="22"/>
      <c r="Q27" s="15"/>
      <c r="R27" s="49">
        <f t="shared" si="2"/>
        <v>42656</v>
      </c>
      <c r="S27" s="5">
        <f>O27+1</f>
        <v>42657</v>
      </c>
      <c r="T27" s="22"/>
      <c r="U27" s="15"/>
      <c r="V27" s="49">
        <f t="shared" si="3"/>
        <v>42657</v>
      </c>
      <c r="W27" s="5">
        <f>S27+1</f>
        <v>42658</v>
      </c>
      <c r="X27" s="22"/>
      <c r="Y27" s="15"/>
      <c r="Z27" s="50">
        <f t="shared" si="4"/>
        <v>42658</v>
      </c>
      <c r="AB27" s="42" t="s">
        <v>77</v>
      </c>
    </row>
    <row r="28" spans="2:28" x14ac:dyDescent="0.2">
      <c r="B28" s="265"/>
      <c r="C28" s="30">
        <f t="shared" si="6"/>
        <v>42653</v>
      </c>
      <c r="D28" s="23"/>
      <c r="E28" s="10"/>
      <c r="F28" s="50">
        <f t="shared" si="5"/>
        <v>42653</v>
      </c>
      <c r="G28" s="30">
        <f>G27</f>
        <v>42654</v>
      </c>
      <c r="H28" s="23"/>
      <c r="I28" s="10"/>
      <c r="J28" s="50">
        <f t="shared" si="0"/>
        <v>42654</v>
      </c>
      <c r="K28" s="30">
        <f>K27</f>
        <v>42655</v>
      </c>
      <c r="L28" s="23"/>
      <c r="M28" s="10"/>
      <c r="N28" s="50">
        <f t="shared" si="1"/>
        <v>42655</v>
      </c>
      <c r="O28" s="30">
        <f>O27</f>
        <v>42656</v>
      </c>
      <c r="P28" s="23"/>
      <c r="Q28" s="10"/>
      <c r="R28" s="50">
        <f t="shared" si="2"/>
        <v>42656</v>
      </c>
      <c r="S28" s="30">
        <f>S27</f>
        <v>42657</v>
      </c>
      <c r="T28" s="23"/>
      <c r="U28" s="10"/>
      <c r="V28" s="50">
        <f t="shared" si="3"/>
        <v>42657</v>
      </c>
      <c r="W28" s="30">
        <f>W27</f>
        <v>42658</v>
      </c>
      <c r="X28" s="23"/>
      <c r="Y28" s="10"/>
      <c r="Z28" s="50">
        <f t="shared" si="4"/>
        <v>42658</v>
      </c>
      <c r="AB28" s="42" t="s">
        <v>63</v>
      </c>
    </row>
    <row r="29" spans="2:28" x14ac:dyDescent="0.2">
      <c r="B29" s="265"/>
      <c r="C29" s="31">
        <f t="shared" si="6"/>
        <v>42653</v>
      </c>
      <c r="D29" s="23"/>
      <c r="E29" s="6"/>
      <c r="F29" s="51">
        <f t="shared" si="5"/>
        <v>42653</v>
      </c>
      <c r="G29" s="31">
        <f>G28</f>
        <v>42654</v>
      </c>
      <c r="H29" s="23"/>
      <c r="I29" s="6"/>
      <c r="J29" s="51">
        <f t="shared" si="0"/>
        <v>42654</v>
      </c>
      <c r="K29" s="31">
        <f>K28</f>
        <v>42655</v>
      </c>
      <c r="L29" s="23"/>
      <c r="M29" s="6"/>
      <c r="N29" s="51">
        <f t="shared" si="1"/>
        <v>42655</v>
      </c>
      <c r="O29" s="31">
        <f>O28</f>
        <v>42656</v>
      </c>
      <c r="P29" s="23"/>
      <c r="Q29" s="6"/>
      <c r="R29" s="51">
        <f t="shared" si="2"/>
        <v>42656</v>
      </c>
      <c r="S29" s="31">
        <f>S28</f>
        <v>42657</v>
      </c>
      <c r="T29" s="23"/>
      <c r="U29" s="6"/>
      <c r="V29" s="51">
        <f t="shared" si="3"/>
        <v>42657</v>
      </c>
      <c r="W29" s="31">
        <f>W28</f>
        <v>42658</v>
      </c>
      <c r="X29" s="23"/>
      <c r="Y29" s="6"/>
      <c r="Z29" s="51">
        <f t="shared" si="4"/>
        <v>42658</v>
      </c>
      <c r="AB29" s="42" t="s">
        <v>71</v>
      </c>
    </row>
    <row r="30" spans="2:28" x14ac:dyDescent="0.2">
      <c r="B30" s="265"/>
      <c r="C30" s="31">
        <f t="shared" si="6"/>
        <v>42653</v>
      </c>
      <c r="D30" s="23"/>
      <c r="E30" s="6"/>
      <c r="F30" s="51">
        <f t="shared" si="5"/>
        <v>42653</v>
      </c>
      <c r="G30" s="31">
        <f>G29</f>
        <v>42654</v>
      </c>
      <c r="H30" s="23"/>
      <c r="I30" s="6"/>
      <c r="J30" s="51">
        <f t="shared" si="0"/>
        <v>42654</v>
      </c>
      <c r="K30" s="31">
        <f>K29</f>
        <v>42655</v>
      </c>
      <c r="L30" s="23"/>
      <c r="M30" s="6"/>
      <c r="N30" s="51">
        <f t="shared" si="1"/>
        <v>42655</v>
      </c>
      <c r="O30" s="31">
        <f>O29</f>
        <v>42656</v>
      </c>
      <c r="P30" s="23"/>
      <c r="Q30" s="6"/>
      <c r="R30" s="51">
        <f t="shared" si="2"/>
        <v>42656</v>
      </c>
      <c r="S30" s="31">
        <f>S29</f>
        <v>42657</v>
      </c>
      <c r="T30" s="23"/>
      <c r="U30" s="6"/>
      <c r="V30" s="51">
        <f t="shared" si="3"/>
        <v>42657</v>
      </c>
      <c r="W30" s="31">
        <f>W29</f>
        <v>42658</v>
      </c>
      <c r="X30" s="23"/>
      <c r="Y30" s="6"/>
      <c r="Z30" s="51">
        <f t="shared" si="4"/>
        <v>42658</v>
      </c>
      <c r="AB30" s="42" t="s">
        <v>78</v>
      </c>
    </row>
    <row r="31" spans="2:28" x14ac:dyDescent="0.2">
      <c r="B31" s="266"/>
      <c r="C31" s="32">
        <f t="shared" si="6"/>
        <v>42653</v>
      </c>
      <c r="D31" s="24"/>
      <c r="E31" s="8"/>
      <c r="F31" s="52">
        <f t="shared" si="5"/>
        <v>42653</v>
      </c>
      <c r="G31" s="32">
        <f>G30</f>
        <v>42654</v>
      </c>
      <c r="H31" s="24"/>
      <c r="I31" s="8"/>
      <c r="J31" s="52">
        <f t="shared" si="0"/>
        <v>42654</v>
      </c>
      <c r="K31" s="32">
        <f>K30</f>
        <v>42655</v>
      </c>
      <c r="L31" s="24"/>
      <c r="M31" s="8"/>
      <c r="N31" s="52">
        <f t="shared" si="1"/>
        <v>42655</v>
      </c>
      <c r="O31" s="32">
        <f>O30</f>
        <v>42656</v>
      </c>
      <c r="P31" s="24"/>
      <c r="Q31" s="8"/>
      <c r="R31" s="52">
        <f t="shared" si="2"/>
        <v>42656</v>
      </c>
      <c r="S31" s="32">
        <f>S30</f>
        <v>42657</v>
      </c>
      <c r="T31" s="24"/>
      <c r="U31" s="8"/>
      <c r="V31" s="52">
        <f t="shared" si="3"/>
        <v>42657</v>
      </c>
      <c r="W31" s="32">
        <f>W30</f>
        <v>42658</v>
      </c>
      <c r="X31" s="24"/>
      <c r="Y31" s="8"/>
      <c r="Z31" s="51">
        <f t="shared" si="4"/>
        <v>42658</v>
      </c>
      <c r="AB31" s="211" t="s">
        <v>83</v>
      </c>
    </row>
    <row r="32" spans="2:28" x14ac:dyDescent="0.2">
      <c r="B32" s="264">
        <f t="shared" ref="B32" si="10">B27+1</f>
        <v>6</v>
      </c>
      <c r="C32" s="5">
        <f>C27+7</f>
        <v>42660</v>
      </c>
      <c r="D32" s="22"/>
      <c r="E32" s="15"/>
      <c r="F32" s="49">
        <f t="shared" si="5"/>
        <v>42660</v>
      </c>
      <c r="G32" s="5">
        <f>C32+1</f>
        <v>42661</v>
      </c>
      <c r="H32" s="22"/>
      <c r="I32" s="15"/>
      <c r="J32" s="49">
        <f t="shared" si="0"/>
        <v>42661</v>
      </c>
      <c r="K32" s="5">
        <f>G32+1</f>
        <v>42662</v>
      </c>
      <c r="L32" s="113" t="s">
        <v>188</v>
      </c>
      <c r="M32" s="125"/>
      <c r="N32" s="49">
        <f t="shared" si="1"/>
        <v>42662</v>
      </c>
      <c r="O32" s="5">
        <f>K32+1</f>
        <v>42663</v>
      </c>
      <c r="P32" s="22"/>
      <c r="Q32" s="15"/>
      <c r="R32" s="49">
        <f t="shared" si="2"/>
        <v>42663</v>
      </c>
      <c r="S32" s="5">
        <f>O32+1</f>
        <v>42664</v>
      </c>
      <c r="T32" s="22"/>
      <c r="U32" s="15"/>
      <c r="V32" s="49">
        <f t="shared" si="3"/>
        <v>42664</v>
      </c>
      <c r="W32" s="5">
        <f>S32+1</f>
        <v>42665</v>
      </c>
      <c r="X32" s="22"/>
      <c r="Y32" s="15"/>
      <c r="Z32" s="50">
        <f t="shared" si="4"/>
        <v>42665</v>
      </c>
      <c r="AB32" s="208" t="s">
        <v>84</v>
      </c>
    </row>
    <row r="33" spans="2:28" x14ac:dyDescent="0.2">
      <c r="B33" s="265"/>
      <c r="C33" s="30">
        <f t="shared" si="6"/>
        <v>42660</v>
      </c>
      <c r="D33" s="23"/>
      <c r="E33" s="10"/>
      <c r="F33" s="50">
        <f t="shared" si="5"/>
        <v>42660</v>
      </c>
      <c r="G33" s="30">
        <f>G32</f>
        <v>42661</v>
      </c>
      <c r="H33" s="23"/>
      <c r="I33" s="10"/>
      <c r="J33" s="50">
        <f t="shared" si="0"/>
        <v>42661</v>
      </c>
      <c r="K33" s="30">
        <f>K32</f>
        <v>42662</v>
      </c>
      <c r="L33" s="23"/>
      <c r="M33" s="10"/>
      <c r="N33" s="50">
        <f t="shared" si="1"/>
        <v>42662</v>
      </c>
      <c r="O33" s="30">
        <f>O32</f>
        <v>42663</v>
      </c>
      <c r="P33" s="23"/>
      <c r="Q33" s="10"/>
      <c r="R33" s="50">
        <f t="shared" si="2"/>
        <v>42663</v>
      </c>
      <c r="S33" s="30">
        <f>S32</f>
        <v>42664</v>
      </c>
      <c r="T33" s="23"/>
      <c r="U33" s="10"/>
      <c r="V33" s="50">
        <f t="shared" si="3"/>
        <v>42664</v>
      </c>
      <c r="W33" s="30">
        <f>W32</f>
        <v>42665</v>
      </c>
      <c r="X33" s="23"/>
      <c r="Y33" s="10"/>
      <c r="Z33" s="50">
        <f t="shared" si="4"/>
        <v>42665</v>
      </c>
      <c r="AB33" t="s">
        <v>79</v>
      </c>
    </row>
    <row r="34" spans="2:28" x14ac:dyDescent="0.2">
      <c r="B34" s="265"/>
      <c r="C34" s="31">
        <f t="shared" si="6"/>
        <v>42660</v>
      </c>
      <c r="D34" s="23"/>
      <c r="E34" s="6"/>
      <c r="F34" s="51">
        <f t="shared" si="5"/>
        <v>42660</v>
      </c>
      <c r="G34" s="31">
        <f>G33</f>
        <v>42661</v>
      </c>
      <c r="H34" s="23"/>
      <c r="I34" s="6"/>
      <c r="J34" s="51">
        <f t="shared" si="0"/>
        <v>42661</v>
      </c>
      <c r="K34" s="31">
        <f>K33</f>
        <v>42662</v>
      </c>
      <c r="L34" s="23"/>
      <c r="M34" s="6"/>
      <c r="N34" s="51">
        <f t="shared" si="1"/>
        <v>42662</v>
      </c>
      <c r="O34" s="31">
        <f>O33</f>
        <v>42663</v>
      </c>
      <c r="P34" s="23"/>
      <c r="Q34" s="6"/>
      <c r="R34" s="51">
        <f t="shared" si="2"/>
        <v>42663</v>
      </c>
      <c r="S34" s="31">
        <f>S33</f>
        <v>42664</v>
      </c>
      <c r="T34" s="23"/>
      <c r="U34" s="6"/>
      <c r="V34" s="51">
        <f t="shared" si="3"/>
        <v>42664</v>
      </c>
      <c r="W34" s="31">
        <f>W33</f>
        <v>42665</v>
      </c>
      <c r="X34" s="23"/>
      <c r="Y34" s="6"/>
      <c r="Z34" s="51">
        <f t="shared" si="4"/>
        <v>42665</v>
      </c>
      <c r="AB34" t="s">
        <v>70</v>
      </c>
    </row>
    <row r="35" spans="2:28" x14ac:dyDescent="0.2">
      <c r="B35" s="265"/>
      <c r="C35" s="31">
        <f t="shared" si="6"/>
        <v>42660</v>
      </c>
      <c r="D35" s="23"/>
      <c r="E35" s="6"/>
      <c r="F35" s="51">
        <f t="shared" si="5"/>
        <v>42660</v>
      </c>
      <c r="G35" s="31">
        <f>G34</f>
        <v>42661</v>
      </c>
      <c r="H35" s="23"/>
      <c r="I35" s="6"/>
      <c r="J35" s="51">
        <f t="shared" si="0"/>
        <v>42661</v>
      </c>
      <c r="K35" s="31">
        <f>K34</f>
        <v>42662</v>
      </c>
      <c r="L35" s="23"/>
      <c r="M35" s="6"/>
      <c r="N35" s="51">
        <f t="shared" si="1"/>
        <v>42662</v>
      </c>
      <c r="O35" s="31">
        <f>O34</f>
        <v>42663</v>
      </c>
      <c r="P35" s="23"/>
      <c r="Q35" s="6"/>
      <c r="R35" s="51">
        <f t="shared" si="2"/>
        <v>42663</v>
      </c>
      <c r="S35" s="31">
        <f>S34</f>
        <v>42664</v>
      </c>
      <c r="T35" s="23"/>
      <c r="U35" s="6"/>
      <c r="V35" s="51">
        <f t="shared" si="3"/>
        <v>42664</v>
      </c>
      <c r="W35" s="31">
        <f>W34</f>
        <v>42665</v>
      </c>
      <c r="X35" s="23"/>
      <c r="Y35" s="6"/>
      <c r="Z35" s="51">
        <f t="shared" si="4"/>
        <v>42665</v>
      </c>
      <c r="AB35" t="s">
        <v>64</v>
      </c>
    </row>
    <row r="36" spans="2:28" x14ac:dyDescent="0.2">
      <c r="B36" s="266"/>
      <c r="C36" s="32">
        <f t="shared" si="6"/>
        <v>42660</v>
      </c>
      <c r="D36" s="24"/>
      <c r="E36" s="8"/>
      <c r="F36" s="52">
        <f t="shared" si="5"/>
        <v>42660</v>
      </c>
      <c r="G36" s="32">
        <f>G35</f>
        <v>42661</v>
      </c>
      <c r="H36" s="24"/>
      <c r="I36" s="8"/>
      <c r="J36" s="52">
        <f t="shared" si="0"/>
        <v>42661</v>
      </c>
      <c r="K36" s="32">
        <f>K35</f>
        <v>42662</v>
      </c>
      <c r="L36" s="24"/>
      <c r="M36" s="8"/>
      <c r="N36" s="52">
        <f t="shared" si="1"/>
        <v>42662</v>
      </c>
      <c r="O36" s="32">
        <f>O35</f>
        <v>42663</v>
      </c>
      <c r="P36" s="24"/>
      <c r="Q36" s="8"/>
      <c r="R36" s="52">
        <f t="shared" si="2"/>
        <v>42663</v>
      </c>
      <c r="S36" s="32">
        <f>S35</f>
        <v>42664</v>
      </c>
      <c r="T36" s="24"/>
      <c r="U36" s="8"/>
      <c r="V36" s="52">
        <f t="shared" si="3"/>
        <v>42664</v>
      </c>
      <c r="W36" s="32">
        <f>W35</f>
        <v>42665</v>
      </c>
      <c r="X36" s="24"/>
      <c r="Y36" s="8"/>
      <c r="Z36" s="51">
        <f t="shared" si="4"/>
        <v>42665</v>
      </c>
      <c r="AB36" s="42" t="s">
        <v>68</v>
      </c>
    </row>
    <row r="37" spans="2:28" x14ac:dyDescent="0.2">
      <c r="B37" s="264">
        <f t="shared" ref="B37" si="11">B32+1</f>
        <v>7</v>
      </c>
      <c r="C37" s="5">
        <f>C32+7</f>
        <v>42667</v>
      </c>
      <c r="D37" s="113"/>
      <c r="E37" s="125"/>
      <c r="F37" s="49">
        <f t="shared" si="5"/>
        <v>42667</v>
      </c>
      <c r="G37" s="5">
        <f>C37+1</f>
        <v>42668</v>
      </c>
      <c r="H37" s="22"/>
      <c r="I37" s="15"/>
      <c r="J37" s="49">
        <f t="shared" si="0"/>
        <v>42668</v>
      </c>
      <c r="K37" s="5">
        <f>G37+1</f>
        <v>42669</v>
      </c>
      <c r="L37" s="113" t="s">
        <v>66</v>
      </c>
      <c r="M37" s="125" t="s">
        <v>138</v>
      </c>
      <c r="N37" s="49">
        <f t="shared" si="1"/>
        <v>42669</v>
      </c>
      <c r="O37" s="5">
        <f>K37+1</f>
        <v>42670</v>
      </c>
      <c r="P37" s="113"/>
      <c r="Q37" s="117"/>
      <c r="R37" s="49">
        <f t="shared" si="2"/>
        <v>42670</v>
      </c>
      <c r="S37" s="5">
        <f>O37+1</f>
        <v>42671</v>
      </c>
      <c r="T37" s="22"/>
      <c r="U37" s="15"/>
      <c r="V37" s="49">
        <f t="shared" si="3"/>
        <v>42671</v>
      </c>
      <c r="W37" s="5">
        <f>S37+1</f>
        <v>42672</v>
      </c>
      <c r="X37" s="22"/>
      <c r="Y37" s="15"/>
      <c r="Z37" s="50">
        <f t="shared" si="4"/>
        <v>42672</v>
      </c>
      <c r="AB37" s="42" t="s">
        <v>85</v>
      </c>
    </row>
    <row r="38" spans="2:28" x14ac:dyDescent="0.2">
      <c r="B38" s="265"/>
      <c r="C38" s="30">
        <f t="shared" si="6"/>
        <v>42667</v>
      </c>
      <c r="D38" s="23"/>
      <c r="E38" s="10"/>
      <c r="F38" s="50">
        <f t="shared" si="5"/>
        <v>42667</v>
      </c>
      <c r="G38" s="30">
        <f>G37</f>
        <v>42668</v>
      </c>
      <c r="H38" s="23"/>
      <c r="I38" s="10"/>
      <c r="J38" s="50">
        <f t="shared" si="0"/>
        <v>42668</v>
      </c>
      <c r="K38" s="30">
        <f>K37</f>
        <v>42669</v>
      </c>
      <c r="L38" s="23"/>
      <c r="M38" s="10"/>
      <c r="N38" s="50">
        <f t="shared" si="1"/>
        <v>42669</v>
      </c>
      <c r="O38" s="30">
        <f>O37</f>
        <v>42670</v>
      </c>
      <c r="P38" s="114"/>
      <c r="Q38" s="121"/>
      <c r="R38" s="50">
        <f t="shared" si="2"/>
        <v>42670</v>
      </c>
      <c r="S38" s="30">
        <f>S37</f>
        <v>42671</v>
      </c>
      <c r="T38" s="114"/>
      <c r="U38" s="119"/>
      <c r="V38" s="50">
        <f t="shared" si="3"/>
        <v>42671</v>
      </c>
      <c r="W38" s="30">
        <f>W37</f>
        <v>42672</v>
      </c>
      <c r="X38" s="23"/>
      <c r="Y38" s="10"/>
      <c r="Z38" s="50">
        <f t="shared" si="4"/>
        <v>42672</v>
      </c>
      <c r="AB38" t="s">
        <v>86</v>
      </c>
    </row>
    <row r="39" spans="2:28" x14ac:dyDescent="0.2">
      <c r="B39" s="265"/>
      <c r="C39" s="31">
        <f t="shared" si="6"/>
        <v>42667</v>
      </c>
      <c r="D39" s="23"/>
      <c r="E39" s="6"/>
      <c r="F39" s="51">
        <f t="shared" si="5"/>
        <v>42667</v>
      </c>
      <c r="G39" s="31">
        <f>G38</f>
        <v>42668</v>
      </c>
      <c r="H39" s="23"/>
      <c r="I39" s="6"/>
      <c r="J39" s="51">
        <f t="shared" si="0"/>
        <v>42668</v>
      </c>
      <c r="K39" s="31">
        <f>K38</f>
        <v>42669</v>
      </c>
      <c r="L39" s="23"/>
      <c r="M39" s="6"/>
      <c r="N39" s="51">
        <f t="shared" si="1"/>
        <v>42669</v>
      </c>
      <c r="O39" s="31">
        <f>O38</f>
        <v>42670</v>
      </c>
      <c r="P39" s="114"/>
      <c r="Q39" s="120"/>
      <c r="R39" s="51">
        <f t="shared" si="2"/>
        <v>42670</v>
      </c>
      <c r="S39" s="31">
        <f>S38</f>
        <v>42671</v>
      </c>
      <c r="T39" s="114"/>
      <c r="U39" s="120"/>
      <c r="V39" s="51">
        <f t="shared" si="3"/>
        <v>42671</v>
      </c>
      <c r="W39" s="31">
        <f>W38</f>
        <v>42672</v>
      </c>
      <c r="X39" s="23"/>
      <c r="Y39" s="6"/>
      <c r="Z39" s="51">
        <f t="shared" si="4"/>
        <v>42672</v>
      </c>
    </row>
    <row r="40" spans="2:28" x14ac:dyDescent="0.2">
      <c r="B40" s="265"/>
      <c r="C40" s="31">
        <f t="shared" si="6"/>
        <v>42667</v>
      </c>
      <c r="D40" s="23"/>
      <c r="E40" s="120"/>
      <c r="F40" s="51">
        <f t="shared" si="5"/>
        <v>42667</v>
      </c>
      <c r="G40" s="31">
        <f>G39</f>
        <v>42668</v>
      </c>
      <c r="H40" s="114"/>
      <c r="I40" s="120"/>
      <c r="J40" s="51">
        <f t="shared" si="0"/>
        <v>42668</v>
      </c>
      <c r="K40" s="31">
        <f>K39</f>
        <v>42669</v>
      </c>
      <c r="L40" s="114"/>
      <c r="M40" s="120"/>
      <c r="N40" s="51">
        <f t="shared" si="1"/>
        <v>42669</v>
      </c>
      <c r="O40" s="31">
        <f>O39</f>
        <v>42670</v>
      </c>
      <c r="P40" s="114"/>
      <c r="Q40" s="120"/>
      <c r="R40" s="51">
        <f t="shared" si="2"/>
        <v>42670</v>
      </c>
      <c r="S40" s="31">
        <f>S39</f>
        <v>42671</v>
      </c>
      <c r="T40" s="114"/>
      <c r="U40" s="120"/>
      <c r="V40" s="51">
        <f t="shared" si="3"/>
        <v>42671</v>
      </c>
      <c r="W40" s="31">
        <f>W39</f>
        <v>42672</v>
      </c>
      <c r="X40" s="23"/>
      <c r="Y40" s="6"/>
      <c r="Z40" s="51">
        <f t="shared" si="4"/>
        <v>42672</v>
      </c>
    </row>
    <row r="41" spans="2:28" x14ac:dyDescent="0.2">
      <c r="B41" s="266"/>
      <c r="C41" s="32">
        <f t="shared" si="6"/>
        <v>42667</v>
      </c>
      <c r="D41" s="24"/>
      <c r="E41" s="8"/>
      <c r="F41" s="52">
        <f t="shared" si="5"/>
        <v>42667</v>
      </c>
      <c r="G41" s="32">
        <f>G40</f>
        <v>42668</v>
      </c>
      <c r="H41" s="24"/>
      <c r="I41" s="8"/>
      <c r="J41" s="52">
        <f t="shared" si="0"/>
        <v>42668</v>
      </c>
      <c r="K41" s="32">
        <f>K40</f>
        <v>42669</v>
      </c>
      <c r="L41" s="122"/>
      <c r="M41" s="124"/>
      <c r="N41" s="52">
        <f t="shared" si="1"/>
        <v>42669</v>
      </c>
      <c r="O41" s="32">
        <f>O40</f>
        <v>42670</v>
      </c>
      <c r="P41" s="24"/>
      <c r="Q41" s="8"/>
      <c r="R41" s="52">
        <f t="shared" si="2"/>
        <v>42670</v>
      </c>
      <c r="S41" s="32">
        <f>S40</f>
        <v>42671</v>
      </c>
      <c r="T41" s="24"/>
      <c r="U41" s="8"/>
      <c r="V41" s="52">
        <f t="shared" si="3"/>
        <v>42671</v>
      </c>
      <c r="W41" s="32">
        <f>W40</f>
        <v>42672</v>
      </c>
      <c r="X41" s="122"/>
      <c r="Y41" s="124"/>
      <c r="Z41" s="51">
        <f t="shared" si="4"/>
        <v>42672</v>
      </c>
    </row>
    <row r="42" spans="2:28" x14ac:dyDescent="0.2">
      <c r="B42" s="264">
        <f t="shared" ref="B42" si="12">B37+1</f>
        <v>8</v>
      </c>
      <c r="C42" s="5">
        <f>C37+7</f>
        <v>42674</v>
      </c>
      <c r="D42" s="22"/>
      <c r="E42" s="15"/>
      <c r="F42" s="49">
        <f t="shared" si="5"/>
        <v>42674</v>
      </c>
      <c r="G42" s="233">
        <f>C42+1</f>
        <v>42675</v>
      </c>
      <c r="H42" s="113" t="s">
        <v>137</v>
      </c>
      <c r="I42" s="125"/>
      <c r="J42" s="49">
        <f t="shared" si="0"/>
        <v>42675</v>
      </c>
      <c r="K42" s="5">
        <f>G42+1</f>
        <v>42676</v>
      </c>
      <c r="L42" s="113"/>
      <c r="M42" s="125"/>
      <c r="N42" s="49">
        <f t="shared" si="1"/>
        <v>42676</v>
      </c>
      <c r="O42" s="5">
        <f>K42+1</f>
        <v>42677</v>
      </c>
      <c r="P42" s="22"/>
      <c r="Q42" s="15"/>
      <c r="R42" s="49">
        <f t="shared" si="2"/>
        <v>42677</v>
      </c>
      <c r="S42" s="5">
        <f>O42+1</f>
        <v>42678</v>
      </c>
      <c r="T42" s="113"/>
      <c r="U42" s="125"/>
      <c r="V42" s="49">
        <f t="shared" si="3"/>
        <v>42678</v>
      </c>
      <c r="W42" s="5">
        <f>S42+1</f>
        <v>42679</v>
      </c>
      <c r="X42" s="113" t="s">
        <v>72</v>
      </c>
      <c r="Y42" s="125" t="s">
        <v>49</v>
      </c>
      <c r="Z42" s="50">
        <f t="shared" si="4"/>
        <v>42679</v>
      </c>
    </row>
    <row r="43" spans="2:28" x14ac:dyDescent="0.2">
      <c r="B43" s="265"/>
      <c r="C43" s="30">
        <f t="shared" si="6"/>
        <v>42674</v>
      </c>
      <c r="D43" s="114" t="s">
        <v>191</v>
      </c>
      <c r="E43" s="119" t="s">
        <v>87</v>
      </c>
      <c r="F43" s="50">
        <f t="shared" si="5"/>
        <v>42674</v>
      </c>
      <c r="G43" s="30">
        <f>G42</f>
        <v>42675</v>
      </c>
      <c r="H43" s="114" t="s">
        <v>137</v>
      </c>
      <c r="I43" s="10"/>
      <c r="J43" s="50">
        <f t="shared" si="0"/>
        <v>42675</v>
      </c>
      <c r="K43" s="30">
        <f>K42</f>
        <v>42676</v>
      </c>
      <c r="L43" s="114" t="s">
        <v>62</v>
      </c>
      <c r="M43" s="119" t="s">
        <v>178</v>
      </c>
      <c r="N43" s="50">
        <f t="shared" si="1"/>
        <v>42676</v>
      </c>
      <c r="O43" s="30">
        <f>O42</f>
        <v>42677</v>
      </c>
      <c r="P43" s="23"/>
      <c r="Q43" s="10"/>
      <c r="R43" s="50">
        <f t="shared" si="2"/>
        <v>42677</v>
      </c>
      <c r="S43" s="30">
        <f>S42</f>
        <v>42678</v>
      </c>
      <c r="T43" s="114"/>
      <c r="U43" s="121"/>
      <c r="V43" s="50">
        <f t="shared" si="3"/>
        <v>42678</v>
      </c>
      <c r="W43" s="30">
        <f>W42</f>
        <v>42679</v>
      </c>
      <c r="X43" s="114"/>
      <c r="Y43" s="99"/>
      <c r="Z43" s="50">
        <f t="shared" si="4"/>
        <v>42679</v>
      </c>
    </row>
    <row r="44" spans="2:28" x14ac:dyDescent="0.2">
      <c r="B44" s="265"/>
      <c r="C44" s="31">
        <f t="shared" si="6"/>
        <v>42674</v>
      </c>
      <c r="D44" s="114" t="s">
        <v>191</v>
      </c>
      <c r="E44" s="119" t="s">
        <v>87</v>
      </c>
      <c r="F44" s="51">
        <f t="shared" si="5"/>
        <v>42674</v>
      </c>
      <c r="G44" s="31">
        <f>G43</f>
        <v>42675</v>
      </c>
      <c r="H44" s="23" t="s">
        <v>137</v>
      </c>
      <c r="I44" s="6"/>
      <c r="J44" s="51">
        <f t="shared" si="0"/>
        <v>42675</v>
      </c>
      <c r="K44" s="31">
        <f>K43</f>
        <v>42676</v>
      </c>
      <c r="L44" s="114" t="s">
        <v>62</v>
      </c>
      <c r="M44" s="118" t="s">
        <v>178</v>
      </c>
      <c r="N44" s="51">
        <f t="shared" si="1"/>
        <v>42676</v>
      </c>
      <c r="O44" s="30">
        <f>O43</f>
        <v>42677</v>
      </c>
      <c r="P44" s="23"/>
      <c r="Q44" s="10"/>
      <c r="R44" s="51">
        <f t="shared" si="2"/>
        <v>42677</v>
      </c>
      <c r="S44" s="31">
        <f>S43</f>
        <v>42678</v>
      </c>
      <c r="T44" s="114"/>
      <c r="U44" s="120"/>
      <c r="V44" s="51">
        <f t="shared" si="3"/>
        <v>42678</v>
      </c>
      <c r="W44" s="31">
        <f>W43</f>
        <v>42679</v>
      </c>
      <c r="X44" s="114"/>
      <c r="Y44" s="100"/>
      <c r="Z44" s="51">
        <f t="shared" si="4"/>
        <v>42679</v>
      </c>
    </row>
    <row r="45" spans="2:28" x14ac:dyDescent="0.2">
      <c r="B45" s="265"/>
      <c r="C45" s="31">
        <f t="shared" si="6"/>
        <v>42674</v>
      </c>
      <c r="D45" s="114" t="s">
        <v>63</v>
      </c>
      <c r="E45" s="118" t="s">
        <v>135</v>
      </c>
      <c r="F45" s="51">
        <f t="shared" si="5"/>
        <v>42674</v>
      </c>
      <c r="G45" s="31">
        <f>G44</f>
        <v>42675</v>
      </c>
      <c r="H45" s="114" t="s">
        <v>137</v>
      </c>
      <c r="I45" s="120"/>
      <c r="J45" s="51">
        <f t="shared" si="0"/>
        <v>42675</v>
      </c>
      <c r="K45" s="31">
        <f>K44</f>
        <v>42676</v>
      </c>
      <c r="L45" s="114" t="s">
        <v>77</v>
      </c>
      <c r="M45" s="120" t="s">
        <v>87</v>
      </c>
      <c r="N45" s="51">
        <f t="shared" si="1"/>
        <v>42676</v>
      </c>
      <c r="O45" s="30">
        <f>O44</f>
        <v>42677</v>
      </c>
      <c r="P45" s="114"/>
      <c r="Q45" s="120"/>
      <c r="R45" s="51">
        <f t="shared" si="2"/>
        <v>42677</v>
      </c>
      <c r="S45" s="31">
        <f>S44</f>
        <v>42678</v>
      </c>
      <c r="T45" s="114"/>
      <c r="U45" s="120"/>
      <c r="V45" s="51">
        <f t="shared" si="3"/>
        <v>42678</v>
      </c>
      <c r="W45" s="31">
        <f>W44</f>
        <v>42679</v>
      </c>
      <c r="X45" s="23"/>
      <c r="Y45" s="6"/>
      <c r="Z45" s="51">
        <f t="shared" si="4"/>
        <v>42679</v>
      </c>
    </row>
    <row r="46" spans="2:28" x14ac:dyDescent="0.2">
      <c r="B46" s="266"/>
      <c r="C46" s="102">
        <f t="shared" si="6"/>
        <v>42674</v>
      </c>
      <c r="D46" s="122"/>
      <c r="E46" s="124"/>
      <c r="F46" s="52">
        <f t="shared" si="5"/>
        <v>42674</v>
      </c>
      <c r="G46" s="32">
        <f>G45</f>
        <v>42675</v>
      </c>
      <c r="H46" s="24" t="s">
        <v>137</v>
      </c>
      <c r="I46" s="8"/>
      <c r="J46" s="52">
        <f t="shared" si="0"/>
        <v>42675</v>
      </c>
      <c r="K46" s="32">
        <f>K45</f>
        <v>42676</v>
      </c>
      <c r="L46" s="122" t="s">
        <v>79</v>
      </c>
      <c r="M46" s="124" t="s">
        <v>178</v>
      </c>
      <c r="N46" s="52">
        <f t="shared" si="1"/>
        <v>42676</v>
      </c>
      <c r="O46" s="98">
        <f>O45</f>
        <v>42677</v>
      </c>
      <c r="P46" s="96"/>
      <c r="Q46" s="97"/>
      <c r="R46" s="52">
        <f t="shared" si="2"/>
        <v>42677</v>
      </c>
      <c r="S46" s="32">
        <f>S45</f>
        <v>42678</v>
      </c>
      <c r="T46" s="24"/>
      <c r="U46" s="8"/>
      <c r="V46" s="52">
        <f t="shared" si="3"/>
        <v>42678</v>
      </c>
      <c r="W46" s="32">
        <f>W45</f>
        <v>42679</v>
      </c>
      <c r="X46" s="122"/>
      <c r="Y46" s="124"/>
      <c r="Z46" s="51">
        <f t="shared" si="4"/>
        <v>42679</v>
      </c>
    </row>
    <row r="47" spans="2:28" x14ac:dyDescent="0.2">
      <c r="B47" s="264">
        <f t="shared" ref="B47" si="13">B42+1</f>
        <v>9</v>
      </c>
      <c r="C47" s="5">
        <f>C42+7</f>
        <v>42681</v>
      </c>
      <c r="D47" s="22"/>
      <c r="E47" s="15"/>
      <c r="F47" s="49">
        <f t="shared" si="5"/>
        <v>42681</v>
      </c>
      <c r="G47" s="5">
        <f>C47+1</f>
        <v>42682</v>
      </c>
      <c r="H47" s="22"/>
      <c r="I47" s="15"/>
      <c r="J47" s="49">
        <f t="shared" si="0"/>
        <v>42682</v>
      </c>
      <c r="K47" s="5">
        <f>G47+1</f>
        <v>42683</v>
      </c>
      <c r="L47" s="113" t="s">
        <v>74</v>
      </c>
      <c r="M47" s="117" t="s">
        <v>178</v>
      </c>
      <c r="N47" s="49">
        <f t="shared" si="1"/>
        <v>42683</v>
      </c>
      <c r="O47" s="5">
        <f>K47+1</f>
        <v>42684</v>
      </c>
      <c r="P47" s="22"/>
      <c r="Q47" s="15"/>
      <c r="R47" s="49">
        <f t="shared" si="2"/>
        <v>42684</v>
      </c>
      <c r="S47" s="5">
        <f>O47+1</f>
        <v>42685</v>
      </c>
      <c r="T47" s="113"/>
      <c r="U47" s="15"/>
      <c r="V47" s="49">
        <f t="shared" si="3"/>
        <v>42685</v>
      </c>
      <c r="W47" s="5">
        <f>S47+1</f>
        <v>42686</v>
      </c>
      <c r="X47" s="22"/>
      <c r="Y47" s="15"/>
      <c r="Z47" s="50">
        <f t="shared" si="4"/>
        <v>42686</v>
      </c>
    </row>
    <row r="48" spans="2:28" x14ac:dyDescent="0.2">
      <c r="B48" s="265"/>
      <c r="C48" s="30">
        <f t="shared" si="6"/>
        <v>42681</v>
      </c>
      <c r="D48" s="114"/>
      <c r="E48" s="121"/>
      <c r="F48" s="50">
        <f t="shared" si="5"/>
        <v>42681</v>
      </c>
      <c r="G48" s="30">
        <f>G47</f>
        <v>42682</v>
      </c>
      <c r="H48" s="23"/>
      <c r="I48" s="10"/>
      <c r="J48" s="50">
        <f t="shared" si="0"/>
        <v>42682</v>
      </c>
      <c r="K48" s="30">
        <f>K47</f>
        <v>42683</v>
      </c>
      <c r="L48" s="23"/>
      <c r="M48" s="99"/>
      <c r="N48" s="50">
        <f t="shared" si="1"/>
        <v>42683</v>
      </c>
      <c r="O48" s="30">
        <f>O47</f>
        <v>42684</v>
      </c>
      <c r="P48" s="23"/>
      <c r="Q48" s="10"/>
      <c r="R48" s="50">
        <f t="shared" si="2"/>
        <v>42684</v>
      </c>
      <c r="S48" s="30">
        <f>S47</f>
        <v>42685</v>
      </c>
      <c r="T48" s="114" t="s">
        <v>67</v>
      </c>
      <c r="U48" s="121" t="s">
        <v>48</v>
      </c>
      <c r="V48" s="50">
        <f t="shared" si="3"/>
        <v>42685</v>
      </c>
      <c r="W48" s="30">
        <f>W47</f>
        <v>42686</v>
      </c>
      <c r="X48" s="23"/>
      <c r="Y48" s="10"/>
      <c r="Z48" s="50">
        <f t="shared" si="4"/>
        <v>42686</v>
      </c>
    </row>
    <row r="49" spans="2:26" x14ac:dyDescent="0.2">
      <c r="B49" s="265"/>
      <c r="C49" s="31">
        <f t="shared" si="6"/>
        <v>42681</v>
      </c>
      <c r="D49" s="114"/>
      <c r="E49" s="120"/>
      <c r="F49" s="51">
        <f t="shared" si="5"/>
        <v>42681</v>
      </c>
      <c r="G49" s="31">
        <f>G48</f>
        <v>42682</v>
      </c>
      <c r="H49" s="23"/>
      <c r="I49" s="6"/>
      <c r="J49" s="51">
        <f t="shared" si="0"/>
        <v>42682</v>
      </c>
      <c r="K49" s="31">
        <f>K48</f>
        <v>42683</v>
      </c>
      <c r="L49" s="23"/>
      <c r="M49" s="100"/>
      <c r="N49" s="51">
        <f t="shared" si="1"/>
        <v>42683</v>
      </c>
      <c r="O49" s="31">
        <f>O48</f>
        <v>42684</v>
      </c>
      <c r="P49" s="23"/>
      <c r="Q49" s="6"/>
      <c r="R49" s="51">
        <f t="shared" si="2"/>
        <v>42684</v>
      </c>
      <c r="S49" s="31">
        <f>S48</f>
        <v>42685</v>
      </c>
      <c r="T49" s="114" t="s">
        <v>67</v>
      </c>
      <c r="U49" s="120" t="s">
        <v>48</v>
      </c>
      <c r="V49" s="51">
        <f t="shared" si="3"/>
        <v>42685</v>
      </c>
      <c r="W49" s="30">
        <f>W48</f>
        <v>42686</v>
      </c>
      <c r="X49" s="23"/>
      <c r="Y49" s="6"/>
      <c r="Z49" s="51">
        <f t="shared" si="4"/>
        <v>42686</v>
      </c>
    </row>
    <row r="50" spans="2:26" x14ac:dyDescent="0.2">
      <c r="B50" s="265"/>
      <c r="C50" s="31">
        <f t="shared" si="6"/>
        <v>42681</v>
      </c>
      <c r="D50" s="26"/>
      <c r="E50" s="118"/>
      <c r="F50" s="51">
        <f t="shared" si="5"/>
        <v>42681</v>
      </c>
      <c r="G50" s="31">
        <f>G49</f>
        <v>42682</v>
      </c>
      <c r="H50" s="26" t="s">
        <v>195</v>
      </c>
      <c r="I50" s="118" t="s">
        <v>178</v>
      </c>
      <c r="J50" s="51">
        <f t="shared" si="0"/>
        <v>42682</v>
      </c>
      <c r="K50" s="31">
        <f>K49</f>
        <v>42683</v>
      </c>
      <c r="L50" s="23"/>
      <c r="M50" s="6"/>
      <c r="N50" s="51">
        <f t="shared" si="1"/>
        <v>42683</v>
      </c>
      <c r="O50" s="31">
        <f>O49</f>
        <v>42684</v>
      </c>
      <c r="P50" s="114" t="s">
        <v>78</v>
      </c>
      <c r="Q50" s="120" t="s">
        <v>178</v>
      </c>
      <c r="R50" s="51">
        <f t="shared" si="2"/>
        <v>42684</v>
      </c>
      <c r="S50" s="31">
        <f>S49</f>
        <v>42685</v>
      </c>
      <c r="T50" s="114"/>
      <c r="U50" s="120"/>
      <c r="V50" s="51">
        <f t="shared" si="3"/>
        <v>42685</v>
      </c>
      <c r="W50" s="31">
        <f>W49</f>
        <v>42686</v>
      </c>
      <c r="X50" s="23"/>
      <c r="Y50" s="6"/>
      <c r="Z50" s="51">
        <f t="shared" si="4"/>
        <v>42686</v>
      </c>
    </row>
    <row r="51" spans="2:26" x14ac:dyDescent="0.2">
      <c r="B51" s="266"/>
      <c r="C51" s="32">
        <f t="shared" si="6"/>
        <v>42681</v>
      </c>
      <c r="D51" s="122"/>
      <c r="E51" s="124"/>
      <c r="F51" s="52">
        <f t="shared" si="5"/>
        <v>42681</v>
      </c>
      <c r="G51" s="32">
        <f>G50</f>
        <v>42682</v>
      </c>
      <c r="H51" s="24"/>
      <c r="I51" s="8"/>
      <c r="J51" s="52">
        <f t="shared" si="0"/>
        <v>42682</v>
      </c>
      <c r="K51" s="32">
        <f>K50</f>
        <v>42683</v>
      </c>
      <c r="L51" s="24"/>
      <c r="M51" s="8"/>
      <c r="N51" s="52">
        <f t="shared" si="1"/>
        <v>42683</v>
      </c>
      <c r="O51" s="32">
        <f>O50</f>
        <v>42684</v>
      </c>
      <c r="P51" s="122"/>
      <c r="Q51" s="124"/>
      <c r="R51" s="52">
        <f t="shared" si="2"/>
        <v>42684</v>
      </c>
      <c r="S51" s="32">
        <f>S50</f>
        <v>42685</v>
      </c>
      <c r="T51" s="24"/>
      <c r="U51" s="8"/>
      <c r="V51" s="52">
        <f t="shared" si="3"/>
        <v>42685</v>
      </c>
      <c r="W51" s="32">
        <f>W50</f>
        <v>42686</v>
      </c>
      <c r="X51" s="122" t="s">
        <v>84</v>
      </c>
      <c r="Y51" s="124" t="s">
        <v>158</v>
      </c>
      <c r="Z51" s="51">
        <f t="shared" si="4"/>
        <v>42686</v>
      </c>
    </row>
    <row r="52" spans="2:26" x14ac:dyDescent="0.2">
      <c r="B52" s="264">
        <f t="shared" ref="B52" si="14">B47+1</f>
        <v>10</v>
      </c>
      <c r="C52" s="5">
        <f>C47+7</f>
        <v>42688</v>
      </c>
      <c r="D52" s="22"/>
      <c r="E52" s="15"/>
      <c r="F52" s="49">
        <f t="shared" si="5"/>
        <v>42688</v>
      </c>
      <c r="G52" s="5">
        <f>C52+1</f>
        <v>42689</v>
      </c>
      <c r="H52" s="22"/>
      <c r="I52" s="15"/>
      <c r="J52" s="49">
        <f t="shared" si="0"/>
        <v>42689</v>
      </c>
      <c r="K52" s="5">
        <f>G52+1</f>
        <v>42690</v>
      </c>
      <c r="L52" s="113" t="s">
        <v>66</v>
      </c>
      <c r="M52" s="125" t="s">
        <v>138</v>
      </c>
      <c r="N52" s="49">
        <f t="shared" si="1"/>
        <v>42690</v>
      </c>
      <c r="O52" s="5">
        <f>K52+1</f>
        <v>42691</v>
      </c>
      <c r="P52" s="113"/>
      <c r="Q52" s="125"/>
      <c r="R52" s="49">
        <f t="shared" si="2"/>
        <v>42691</v>
      </c>
      <c r="S52" s="5">
        <f>O52+1</f>
        <v>42692</v>
      </c>
      <c r="T52" s="22"/>
      <c r="U52" s="15"/>
      <c r="V52" s="49">
        <f t="shared" si="3"/>
        <v>42692</v>
      </c>
      <c r="W52" s="5">
        <f>S52+1</f>
        <v>42693</v>
      </c>
      <c r="X52" s="22"/>
      <c r="Y52" s="15"/>
      <c r="Z52" s="50">
        <f t="shared" si="4"/>
        <v>42693</v>
      </c>
    </row>
    <row r="53" spans="2:26" x14ac:dyDescent="0.2">
      <c r="B53" s="265"/>
      <c r="C53" s="30">
        <f t="shared" si="6"/>
        <v>42688</v>
      </c>
      <c r="D53" s="23"/>
      <c r="E53" s="99"/>
      <c r="F53" s="50">
        <f t="shared" si="5"/>
        <v>42688</v>
      </c>
      <c r="G53" s="30">
        <f>G52</f>
        <v>42689</v>
      </c>
      <c r="H53" s="23"/>
      <c r="I53" s="10"/>
      <c r="J53" s="50">
        <f t="shared" si="0"/>
        <v>42689</v>
      </c>
      <c r="K53" s="30">
        <f>K52</f>
        <v>42690</v>
      </c>
      <c r="L53" s="114"/>
      <c r="M53" s="99"/>
      <c r="N53" s="50">
        <f t="shared" si="1"/>
        <v>42690</v>
      </c>
      <c r="O53" s="30">
        <f>O52</f>
        <v>42691</v>
      </c>
      <c r="P53" s="23"/>
      <c r="Q53" s="10"/>
      <c r="R53" s="50">
        <f t="shared" si="2"/>
        <v>42691</v>
      </c>
      <c r="S53" s="30">
        <f>S52</f>
        <v>42692</v>
      </c>
      <c r="T53" s="23"/>
      <c r="U53" s="10"/>
      <c r="V53" s="50">
        <f t="shared" si="3"/>
        <v>42692</v>
      </c>
      <c r="W53" s="30">
        <f>W52</f>
        <v>42693</v>
      </c>
      <c r="X53" s="23"/>
      <c r="Y53" s="10"/>
      <c r="Z53" s="50">
        <f t="shared" si="4"/>
        <v>42693</v>
      </c>
    </row>
    <row r="54" spans="2:26" x14ac:dyDescent="0.2">
      <c r="B54" s="265"/>
      <c r="C54" s="31">
        <f t="shared" si="6"/>
        <v>42688</v>
      </c>
      <c r="D54" s="23"/>
      <c r="E54" s="100"/>
      <c r="F54" s="51">
        <f t="shared" si="5"/>
        <v>42688</v>
      </c>
      <c r="G54" s="31">
        <f>G53</f>
        <v>42689</v>
      </c>
      <c r="H54" s="23"/>
      <c r="I54" s="6"/>
      <c r="J54" s="51">
        <f t="shared" si="0"/>
        <v>42689</v>
      </c>
      <c r="K54" s="31">
        <f>K53</f>
        <v>42690</v>
      </c>
      <c r="L54" s="114"/>
      <c r="M54" s="100"/>
      <c r="N54" s="51">
        <f t="shared" si="1"/>
        <v>42690</v>
      </c>
      <c r="O54" s="31">
        <f>O53</f>
        <v>42691</v>
      </c>
      <c r="P54" s="23"/>
      <c r="Q54" s="6"/>
      <c r="R54" s="51">
        <f t="shared" si="2"/>
        <v>42691</v>
      </c>
      <c r="S54" s="31">
        <f>S53</f>
        <v>42692</v>
      </c>
      <c r="T54" s="23"/>
      <c r="U54" s="6"/>
      <c r="V54" s="51">
        <f t="shared" si="3"/>
        <v>42692</v>
      </c>
      <c r="W54" s="31">
        <f>W53</f>
        <v>42693</v>
      </c>
      <c r="X54" s="23"/>
      <c r="Y54" s="6"/>
      <c r="Z54" s="51">
        <f t="shared" si="4"/>
        <v>42693</v>
      </c>
    </row>
    <row r="55" spans="2:26" x14ac:dyDescent="0.2">
      <c r="B55" s="265"/>
      <c r="C55" s="31">
        <f t="shared" si="6"/>
        <v>42688</v>
      </c>
      <c r="D55" s="23"/>
      <c r="E55" s="6"/>
      <c r="F55" s="51">
        <f t="shared" si="5"/>
        <v>42688</v>
      </c>
      <c r="G55" s="31">
        <f>G54</f>
        <v>42689</v>
      </c>
      <c r="H55" s="114"/>
      <c r="I55" s="120"/>
      <c r="J55" s="51">
        <f t="shared" si="0"/>
        <v>42689</v>
      </c>
      <c r="K55" s="31">
        <f>K54</f>
        <v>42690</v>
      </c>
      <c r="L55" s="114"/>
      <c r="M55" s="6"/>
      <c r="N55" s="51">
        <f t="shared" si="1"/>
        <v>42690</v>
      </c>
      <c r="O55" s="31">
        <f>O54</f>
        <v>42691</v>
      </c>
      <c r="P55" s="23"/>
      <c r="Q55" s="6"/>
      <c r="R55" s="51">
        <f t="shared" si="2"/>
        <v>42691</v>
      </c>
      <c r="S55" s="31">
        <f>S54</f>
        <v>42692</v>
      </c>
      <c r="T55" s="23"/>
      <c r="U55" s="6"/>
      <c r="V55" s="51">
        <f t="shared" si="3"/>
        <v>42692</v>
      </c>
      <c r="W55" s="31">
        <f>W54</f>
        <v>42693</v>
      </c>
      <c r="X55" s="23"/>
      <c r="Y55" s="6"/>
      <c r="Z55" s="51">
        <f t="shared" si="4"/>
        <v>42693</v>
      </c>
    </row>
    <row r="56" spans="2:26" x14ac:dyDescent="0.2">
      <c r="B56" s="266"/>
      <c r="C56" s="32">
        <f t="shared" si="6"/>
        <v>42688</v>
      </c>
      <c r="D56" s="24"/>
      <c r="E56" s="8"/>
      <c r="F56" s="52">
        <f t="shared" si="5"/>
        <v>42688</v>
      </c>
      <c r="G56" s="32">
        <f>G55</f>
        <v>42689</v>
      </c>
      <c r="H56" s="24"/>
      <c r="I56" s="8"/>
      <c r="J56" s="52">
        <f t="shared" si="0"/>
        <v>42689</v>
      </c>
      <c r="K56" s="32">
        <f>K55</f>
        <v>42690</v>
      </c>
      <c r="L56" s="122"/>
      <c r="M56" s="8"/>
      <c r="N56" s="52">
        <f t="shared" si="1"/>
        <v>42690</v>
      </c>
      <c r="O56" s="32">
        <f>O55</f>
        <v>42691</v>
      </c>
      <c r="P56" s="24"/>
      <c r="Q56" s="8"/>
      <c r="R56" s="52">
        <f t="shared" si="2"/>
        <v>42691</v>
      </c>
      <c r="S56" s="32">
        <f>S55</f>
        <v>42692</v>
      </c>
      <c r="T56" s="24"/>
      <c r="U56" s="8"/>
      <c r="V56" s="52">
        <f t="shared" si="3"/>
        <v>42692</v>
      </c>
      <c r="W56" s="32">
        <f>W55</f>
        <v>42693</v>
      </c>
      <c r="X56" s="24"/>
      <c r="Y56" s="8"/>
      <c r="Z56" s="51">
        <f t="shared" si="4"/>
        <v>42693</v>
      </c>
    </row>
    <row r="57" spans="2:26" x14ac:dyDescent="0.2">
      <c r="B57" s="264">
        <f>B52+1</f>
        <v>11</v>
      </c>
      <c r="C57" s="5">
        <f>C52+7</f>
        <v>42695</v>
      </c>
      <c r="D57" s="22"/>
      <c r="E57" s="15"/>
      <c r="F57" s="49">
        <f t="shared" si="5"/>
        <v>42695</v>
      </c>
      <c r="G57" s="5">
        <f>C57+1</f>
        <v>42696</v>
      </c>
      <c r="H57" s="22"/>
      <c r="I57" s="15"/>
      <c r="J57" s="49">
        <f t="shared" si="0"/>
        <v>42696</v>
      </c>
      <c r="K57" s="5">
        <f>G57+1</f>
        <v>42697</v>
      </c>
      <c r="L57" s="22"/>
      <c r="M57" s="15"/>
      <c r="N57" s="49">
        <f t="shared" si="1"/>
        <v>42697</v>
      </c>
      <c r="O57" s="5">
        <f>K57+1</f>
        <v>42698</v>
      </c>
      <c r="P57" s="113"/>
      <c r="Q57" s="117"/>
      <c r="R57" s="49">
        <f t="shared" si="2"/>
        <v>42698</v>
      </c>
      <c r="S57" s="5">
        <f>O57+1</f>
        <v>42699</v>
      </c>
      <c r="T57" s="22"/>
      <c r="U57" s="15"/>
      <c r="V57" s="49">
        <f t="shared" si="3"/>
        <v>42699</v>
      </c>
      <c r="W57" s="5">
        <f>S57+1</f>
        <v>42700</v>
      </c>
      <c r="X57" s="22"/>
      <c r="Y57" s="15"/>
      <c r="Z57" s="50">
        <f t="shared" si="4"/>
        <v>42700</v>
      </c>
    </row>
    <row r="58" spans="2:26" x14ac:dyDescent="0.2">
      <c r="B58" s="265"/>
      <c r="C58" s="30">
        <f t="shared" si="6"/>
        <v>42695</v>
      </c>
      <c r="D58" s="23"/>
      <c r="E58" s="10"/>
      <c r="F58" s="50">
        <f t="shared" si="5"/>
        <v>42695</v>
      </c>
      <c r="G58" s="30">
        <f>G57</f>
        <v>42696</v>
      </c>
      <c r="H58" s="23"/>
      <c r="I58" s="10"/>
      <c r="J58" s="50">
        <f t="shared" si="0"/>
        <v>42696</v>
      </c>
      <c r="K58" s="30">
        <f>K57</f>
        <v>42697</v>
      </c>
      <c r="L58" s="23"/>
      <c r="M58" s="10"/>
      <c r="N58" s="50">
        <f t="shared" si="1"/>
        <v>42697</v>
      </c>
      <c r="O58" s="30">
        <f>O57</f>
        <v>42698</v>
      </c>
      <c r="P58" s="23"/>
      <c r="Q58" s="10"/>
      <c r="R58" s="50">
        <f t="shared" si="2"/>
        <v>42698</v>
      </c>
      <c r="S58" s="30">
        <f>S57</f>
        <v>42699</v>
      </c>
      <c r="T58" s="23"/>
      <c r="U58" s="10"/>
      <c r="V58" s="50">
        <f t="shared" si="3"/>
        <v>42699</v>
      </c>
      <c r="W58" s="30">
        <f>W57</f>
        <v>42700</v>
      </c>
      <c r="X58" s="23"/>
      <c r="Y58" s="10"/>
      <c r="Z58" s="50">
        <f t="shared" si="4"/>
        <v>42700</v>
      </c>
    </row>
    <row r="59" spans="2:26" x14ac:dyDescent="0.2">
      <c r="B59" s="265"/>
      <c r="C59" s="31">
        <f t="shared" si="6"/>
        <v>42695</v>
      </c>
      <c r="D59" s="23"/>
      <c r="E59" s="6"/>
      <c r="F59" s="51">
        <f t="shared" si="5"/>
        <v>42695</v>
      </c>
      <c r="G59" s="31">
        <f>G58</f>
        <v>42696</v>
      </c>
      <c r="H59" s="23"/>
      <c r="I59" s="6"/>
      <c r="J59" s="51">
        <f t="shared" si="0"/>
        <v>42696</v>
      </c>
      <c r="K59" s="31">
        <f>K58</f>
        <v>42697</v>
      </c>
      <c r="L59" s="23"/>
      <c r="M59" s="6"/>
      <c r="N59" s="51">
        <f t="shared" si="1"/>
        <v>42697</v>
      </c>
      <c r="O59" s="31">
        <f>O58</f>
        <v>42698</v>
      </c>
      <c r="P59" s="23"/>
      <c r="Q59" s="6"/>
      <c r="R59" s="51">
        <f t="shared" si="2"/>
        <v>42698</v>
      </c>
      <c r="S59" s="31">
        <f>S58</f>
        <v>42699</v>
      </c>
      <c r="T59" s="23"/>
      <c r="U59" s="6"/>
      <c r="V59" s="51">
        <f t="shared" si="3"/>
        <v>42699</v>
      </c>
      <c r="W59" s="31">
        <f>W58</f>
        <v>42700</v>
      </c>
      <c r="X59" s="23"/>
      <c r="Y59" s="6"/>
      <c r="Z59" s="51">
        <f t="shared" si="4"/>
        <v>42700</v>
      </c>
    </row>
    <row r="60" spans="2:26" x14ac:dyDescent="0.2">
      <c r="B60" s="265"/>
      <c r="C60" s="31">
        <f t="shared" si="6"/>
        <v>42695</v>
      </c>
      <c r="D60" s="23"/>
      <c r="E60" s="6"/>
      <c r="F60" s="51">
        <f t="shared" si="5"/>
        <v>42695</v>
      </c>
      <c r="G60" s="31">
        <f>G59</f>
        <v>42696</v>
      </c>
      <c r="H60" s="23"/>
      <c r="I60" s="6"/>
      <c r="J60" s="51">
        <f t="shared" si="0"/>
        <v>42696</v>
      </c>
      <c r="K60" s="31">
        <f>K59</f>
        <v>42697</v>
      </c>
      <c r="L60" s="23"/>
      <c r="M60" s="6"/>
      <c r="N60" s="51">
        <f t="shared" si="1"/>
        <v>42697</v>
      </c>
      <c r="O60" s="31">
        <f>O59</f>
        <v>42698</v>
      </c>
      <c r="P60" s="23"/>
      <c r="Q60" s="6"/>
      <c r="R60" s="51">
        <f t="shared" si="2"/>
        <v>42698</v>
      </c>
      <c r="S60" s="31">
        <f>S59</f>
        <v>42699</v>
      </c>
      <c r="T60" s="23"/>
      <c r="U60" s="6"/>
      <c r="V60" s="51">
        <f t="shared" si="3"/>
        <v>42699</v>
      </c>
      <c r="W60" s="31">
        <f>W59</f>
        <v>42700</v>
      </c>
      <c r="X60" s="23"/>
      <c r="Y60" s="6"/>
      <c r="Z60" s="51">
        <f t="shared" si="4"/>
        <v>42700</v>
      </c>
    </row>
    <row r="61" spans="2:26" x14ac:dyDescent="0.2">
      <c r="B61" s="266"/>
      <c r="C61" s="32">
        <f t="shared" si="6"/>
        <v>42695</v>
      </c>
      <c r="D61" s="24"/>
      <c r="E61" s="8"/>
      <c r="F61" s="52">
        <f t="shared" si="5"/>
        <v>42695</v>
      </c>
      <c r="G61" s="32">
        <f>G60</f>
        <v>42696</v>
      </c>
      <c r="H61" s="122"/>
      <c r="I61" s="124"/>
      <c r="J61" s="52">
        <f t="shared" si="0"/>
        <v>42696</v>
      </c>
      <c r="K61" s="32">
        <f>K60</f>
        <v>42697</v>
      </c>
      <c r="L61" s="122"/>
      <c r="M61" s="124"/>
      <c r="N61" s="52">
        <f t="shared" si="1"/>
        <v>42697</v>
      </c>
      <c r="O61" s="32">
        <f>O60</f>
        <v>42698</v>
      </c>
      <c r="P61" s="24"/>
      <c r="Q61" s="8"/>
      <c r="R61" s="52">
        <f t="shared" si="2"/>
        <v>42698</v>
      </c>
      <c r="S61" s="32">
        <f>S60</f>
        <v>42699</v>
      </c>
      <c r="T61" s="24"/>
      <c r="U61" s="8"/>
      <c r="V61" s="52">
        <f t="shared" si="3"/>
        <v>42699</v>
      </c>
      <c r="W61" s="32">
        <f>W60</f>
        <v>42700</v>
      </c>
      <c r="X61" s="24"/>
      <c r="Y61" s="8"/>
      <c r="Z61" s="51">
        <f t="shared" si="4"/>
        <v>42700</v>
      </c>
    </row>
    <row r="62" spans="2:26" x14ac:dyDescent="0.2">
      <c r="B62" s="264">
        <f t="shared" ref="B62" si="15">B57+1</f>
        <v>12</v>
      </c>
      <c r="C62" s="5">
        <f>C57+7</f>
        <v>42702</v>
      </c>
      <c r="D62" s="22"/>
      <c r="E62" s="15"/>
      <c r="F62" s="49">
        <f t="shared" si="5"/>
        <v>42702</v>
      </c>
      <c r="G62" s="5">
        <f>C62+1</f>
        <v>42703</v>
      </c>
      <c r="H62" s="22"/>
      <c r="I62" s="15"/>
      <c r="J62" s="49">
        <f t="shared" si="0"/>
        <v>42703</v>
      </c>
      <c r="K62" s="5">
        <f>G62+1</f>
        <v>42704</v>
      </c>
      <c r="L62" s="22"/>
      <c r="M62" s="15"/>
      <c r="N62" s="49">
        <f t="shared" si="1"/>
        <v>42704</v>
      </c>
      <c r="O62" s="233">
        <f>K62+1</f>
        <v>42705</v>
      </c>
      <c r="P62" s="113" t="s">
        <v>137</v>
      </c>
      <c r="Q62" s="15"/>
      <c r="R62" s="49">
        <f t="shared" si="2"/>
        <v>42705</v>
      </c>
      <c r="S62" s="5">
        <f>O62+1</f>
        <v>42706</v>
      </c>
      <c r="T62" s="113"/>
      <c r="U62" s="117"/>
      <c r="V62" s="49">
        <f t="shared" si="3"/>
        <v>42706</v>
      </c>
      <c r="W62" s="5">
        <f>S62+1</f>
        <v>42707</v>
      </c>
      <c r="X62" s="22"/>
      <c r="Y62" s="15"/>
      <c r="Z62" s="50">
        <f t="shared" si="4"/>
        <v>42707</v>
      </c>
    </row>
    <row r="63" spans="2:26" x14ac:dyDescent="0.2">
      <c r="B63" s="265"/>
      <c r="C63" s="30">
        <f t="shared" si="6"/>
        <v>42702</v>
      </c>
      <c r="D63" s="23"/>
      <c r="E63" s="10"/>
      <c r="F63" s="50">
        <f t="shared" si="5"/>
        <v>42702</v>
      </c>
      <c r="G63" s="30">
        <f>G62</f>
        <v>42703</v>
      </c>
      <c r="H63" s="114" t="s">
        <v>76</v>
      </c>
      <c r="I63" s="121" t="s">
        <v>198</v>
      </c>
      <c r="J63" s="50">
        <f t="shared" si="0"/>
        <v>42703</v>
      </c>
      <c r="K63" s="30">
        <f>K62</f>
        <v>42704</v>
      </c>
      <c r="L63" s="23"/>
      <c r="M63" s="10"/>
      <c r="N63" s="50">
        <f t="shared" si="1"/>
        <v>42704</v>
      </c>
      <c r="O63" s="30">
        <f>O62</f>
        <v>42705</v>
      </c>
      <c r="P63" s="114" t="s">
        <v>137</v>
      </c>
      <c r="Q63" s="10"/>
      <c r="R63" s="50">
        <f t="shared" si="2"/>
        <v>42705</v>
      </c>
      <c r="S63" s="30">
        <f>S62</f>
        <v>42706</v>
      </c>
      <c r="T63" s="114"/>
      <c r="U63" s="121"/>
      <c r="V63" s="50">
        <f t="shared" si="3"/>
        <v>42706</v>
      </c>
      <c r="W63" s="30">
        <f>W62</f>
        <v>42707</v>
      </c>
      <c r="X63" s="23"/>
      <c r="Y63" s="10"/>
      <c r="Z63" s="50">
        <f t="shared" si="4"/>
        <v>42707</v>
      </c>
    </row>
    <row r="64" spans="2:26" x14ac:dyDescent="0.2">
      <c r="B64" s="265"/>
      <c r="C64" s="31">
        <f t="shared" si="6"/>
        <v>42702</v>
      </c>
      <c r="D64" s="23"/>
      <c r="E64" s="6"/>
      <c r="F64" s="51">
        <f t="shared" si="5"/>
        <v>42702</v>
      </c>
      <c r="G64" s="31">
        <f>G63</f>
        <v>42703</v>
      </c>
      <c r="H64" s="23"/>
      <c r="I64" s="6"/>
      <c r="J64" s="51">
        <f t="shared" si="0"/>
        <v>42703</v>
      </c>
      <c r="K64" s="31">
        <f>K63</f>
        <v>42704</v>
      </c>
      <c r="L64" s="23"/>
      <c r="M64" s="6"/>
      <c r="N64" s="51">
        <f t="shared" si="1"/>
        <v>42704</v>
      </c>
      <c r="O64" s="31">
        <f>O63</f>
        <v>42705</v>
      </c>
      <c r="P64" s="23" t="s">
        <v>137</v>
      </c>
      <c r="Q64" s="6"/>
      <c r="R64" s="51">
        <f t="shared" si="2"/>
        <v>42705</v>
      </c>
      <c r="S64" s="31">
        <f>S63</f>
        <v>42706</v>
      </c>
      <c r="T64" s="114"/>
      <c r="U64" s="120"/>
      <c r="V64" s="51">
        <f t="shared" si="3"/>
        <v>42706</v>
      </c>
      <c r="W64" s="30">
        <f>W63</f>
        <v>42707</v>
      </c>
      <c r="X64" s="23"/>
      <c r="Y64" s="10"/>
      <c r="Z64" s="51">
        <f t="shared" si="4"/>
        <v>42707</v>
      </c>
    </row>
    <row r="65" spans="2:26" x14ac:dyDescent="0.2">
      <c r="B65" s="265"/>
      <c r="C65" s="31">
        <f t="shared" si="6"/>
        <v>42702</v>
      </c>
      <c r="D65" s="23"/>
      <c r="E65" s="6"/>
      <c r="F65" s="51">
        <f t="shared" si="5"/>
        <v>42702</v>
      </c>
      <c r="G65" s="31">
        <f>G64</f>
        <v>42703</v>
      </c>
      <c r="H65" s="114"/>
      <c r="I65" s="6"/>
      <c r="J65" s="51">
        <f t="shared" si="0"/>
        <v>42703</v>
      </c>
      <c r="K65" s="31">
        <f>K64</f>
        <v>42704</v>
      </c>
      <c r="N65" s="51">
        <f t="shared" si="1"/>
        <v>42704</v>
      </c>
      <c r="O65" s="31">
        <f>O64</f>
        <v>42705</v>
      </c>
      <c r="P65" s="114" t="s">
        <v>137</v>
      </c>
      <c r="Q65" s="120"/>
      <c r="R65" s="51">
        <f t="shared" si="2"/>
        <v>42705</v>
      </c>
      <c r="S65" s="31">
        <f>S64</f>
        <v>42706</v>
      </c>
      <c r="T65" s="23"/>
      <c r="U65" s="6"/>
      <c r="V65" s="51">
        <f t="shared" si="3"/>
        <v>42706</v>
      </c>
      <c r="W65" s="30">
        <f>W64</f>
        <v>42707</v>
      </c>
      <c r="X65" s="23"/>
      <c r="Y65" s="10"/>
      <c r="Z65" s="51">
        <f t="shared" si="4"/>
        <v>42707</v>
      </c>
    </row>
    <row r="66" spans="2:26" x14ac:dyDescent="0.2">
      <c r="B66" s="266"/>
      <c r="C66" s="32">
        <f t="shared" si="6"/>
        <v>42702</v>
      </c>
      <c r="D66" s="24"/>
      <c r="E66" s="8"/>
      <c r="F66" s="52">
        <f t="shared" si="5"/>
        <v>42702</v>
      </c>
      <c r="G66" s="32">
        <f>G65</f>
        <v>42703</v>
      </c>
      <c r="H66" s="122" t="s">
        <v>182</v>
      </c>
      <c r="I66" s="124" t="s">
        <v>178</v>
      </c>
      <c r="J66" s="52">
        <f t="shared" si="0"/>
        <v>42703</v>
      </c>
      <c r="K66" s="32">
        <f>K65</f>
        <v>42704</v>
      </c>
      <c r="L66" s="122" t="s">
        <v>185</v>
      </c>
      <c r="M66" s="124" t="s">
        <v>178</v>
      </c>
      <c r="N66" s="52">
        <f t="shared" si="1"/>
        <v>42704</v>
      </c>
      <c r="O66" s="32">
        <f>O65</f>
        <v>42705</v>
      </c>
      <c r="P66" s="24" t="s">
        <v>137</v>
      </c>
      <c r="Q66" s="8"/>
      <c r="R66" s="52">
        <f t="shared" si="2"/>
        <v>42705</v>
      </c>
      <c r="S66" s="32">
        <f>S65</f>
        <v>42706</v>
      </c>
      <c r="T66" s="24"/>
      <c r="U66" s="8"/>
      <c r="V66" s="52">
        <f t="shared" si="3"/>
        <v>42706</v>
      </c>
      <c r="W66" s="98">
        <f>W65</f>
        <v>42707</v>
      </c>
      <c r="X66" s="96"/>
      <c r="Y66" s="97"/>
      <c r="Z66" s="51">
        <f t="shared" si="4"/>
        <v>42707</v>
      </c>
    </row>
    <row r="67" spans="2:26" x14ac:dyDescent="0.2">
      <c r="B67" s="264">
        <f t="shared" ref="B67" si="16">B62+1</f>
        <v>13</v>
      </c>
      <c r="C67" s="5">
        <f>C62+7</f>
        <v>42709</v>
      </c>
      <c r="D67" s="113" t="s">
        <v>189</v>
      </c>
      <c r="E67" s="117" t="s">
        <v>48</v>
      </c>
      <c r="F67" s="49">
        <f t="shared" si="5"/>
        <v>42709</v>
      </c>
      <c r="G67" s="234">
        <f>C67+1</f>
        <v>42710</v>
      </c>
      <c r="H67" s="113"/>
      <c r="I67" s="15"/>
      <c r="J67" s="49">
        <f t="shared" si="0"/>
        <v>42710</v>
      </c>
      <c r="K67" s="5">
        <f>G67+1</f>
        <v>42711</v>
      </c>
      <c r="L67" s="113"/>
      <c r="M67" s="117"/>
      <c r="N67" s="49">
        <f t="shared" si="1"/>
        <v>42711</v>
      </c>
      <c r="O67" s="233">
        <f>K67+1</f>
        <v>42712</v>
      </c>
      <c r="P67" s="113" t="s">
        <v>137</v>
      </c>
      <c r="Q67" s="125"/>
      <c r="R67" s="49">
        <f t="shared" si="2"/>
        <v>42712</v>
      </c>
      <c r="S67" s="5">
        <f>O67+1</f>
        <v>42713</v>
      </c>
      <c r="T67" s="113" t="s">
        <v>74</v>
      </c>
      <c r="U67" s="125" t="s">
        <v>48</v>
      </c>
      <c r="V67" s="49">
        <f t="shared" si="3"/>
        <v>42713</v>
      </c>
      <c r="W67" s="5">
        <f>S67+1</f>
        <v>42714</v>
      </c>
      <c r="X67" s="22"/>
      <c r="Y67" s="15"/>
      <c r="Z67" s="50">
        <f t="shared" si="4"/>
        <v>42714</v>
      </c>
    </row>
    <row r="68" spans="2:26" x14ac:dyDescent="0.2">
      <c r="B68" s="265"/>
      <c r="C68" s="30">
        <f t="shared" si="6"/>
        <v>42709</v>
      </c>
      <c r="D68" s="114" t="s">
        <v>67</v>
      </c>
      <c r="E68" s="121" t="s">
        <v>48</v>
      </c>
      <c r="F68" s="50">
        <f t="shared" si="5"/>
        <v>42709</v>
      </c>
      <c r="G68" s="30">
        <f>G67</f>
        <v>42710</v>
      </c>
      <c r="H68" s="114"/>
      <c r="I68" s="10"/>
      <c r="J68" s="50">
        <f t="shared" si="0"/>
        <v>42710</v>
      </c>
      <c r="K68" s="101">
        <f>K67</f>
        <v>42711</v>
      </c>
      <c r="L68" s="114"/>
      <c r="M68" s="121"/>
      <c r="N68" s="50">
        <f t="shared" si="1"/>
        <v>42711</v>
      </c>
      <c r="O68" s="30">
        <f>O67</f>
        <v>42712</v>
      </c>
      <c r="P68" s="114" t="s">
        <v>137</v>
      </c>
      <c r="Q68" s="10"/>
      <c r="R68" s="50">
        <f t="shared" si="2"/>
        <v>42712</v>
      </c>
      <c r="S68" s="30">
        <f>S67</f>
        <v>42713</v>
      </c>
      <c r="T68" s="114" t="s">
        <v>191</v>
      </c>
      <c r="U68" s="119" t="s">
        <v>178</v>
      </c>
      <c r="V68" s="50">
        <f t="shared" si="3"/>
        <v>42713</v>
      </c>
      <c r="W68" s="30">
        <f>W67</f>
        <v>42714</v>
      </c>
      <c r="X68" s="23"/>
      <c r="Y68" s="10"/>
      <c r="Z68" s="50">
        <f t="shared" si="4"/>
        <v>42714</v>
      </c>
    </row>
    <row r="69" spans="2:26" x14ac:dyDescent="0.2">
      <c r="B69" s="265"/>
      <c r="C69" s="31">
        <f t="shared" si="6"/>
        <v>42709</v>
      </c>
      <c r="D69" s="114" t="s">
        <v>67</v>
      </c>
      <c r="E69" s="120" t="s">
        <v>48</v>
      </c>
      <c r="F69" s="51">
        <f t="shared" si="5"/>
        <v>42709</v>
      </c>
      <c r="G69" s="30">
        <f>G68</f>
        <v>42710</v>
      </c>
      <c r="H69" s="23"/>
      <c r="I69" s="6"/>
      <c r="J69" s="51">
        <f t="shared" si="0"/>
        <v>42710</v>
      </c>
      <c r="K69" s="30">
        <f>K68</f>
        <v>42711</v>
      </c>
      <c r="L69" s="114" t="s">
        <v>193</v>
      </c>
      <c r="M69" s="118" t="s">
        <v>178</v>
      </c>
      <c r="N69" s="51">
        <f t="shared" si="1"/>
        <v>42711</v>
      </c>
      <c r="O69" s="31">
        <f>O68</f>
        <v>42712</v>
      </c>
      <c r="P69" s="23" t="s">
        <v>137</v>
      </c>
      <c r="Q69" s="6"/>
      <c r="R69" s="51">
        <f t="shared" si="2"/>
        <v>42712</v>
      </c>
      <c r="S69" s="31">
        <f>S68</f>
        <v>42713</v>
      </c>
      <c r="T69" s="114" t="s">
        <v>191</v>
      </c>
      <c r="U69" s="118" t="s">
        <v>178</v>
      </c>
      <c r="V69" s="51">
        <f t="shared" si="3"/>
        <v>42713</v>
      </c>
      <c r="W69" s="30">
        <f>W68</f>
        <v>42714</v>
      </c>
      <c r="X69" s="23"/>
      <c r="Y69" s="10"/>
      <c r="Z69" s="51">
        <f t="shared" si="4"/>
        <v>42714</v>
      </c>
    </row>
    <row r="70" spans="2:26" x14ac:dyDescent="0.2">
      <c r="B70" s="265"/>
      <c r="C70" s="31">
        <f t="shared" si="6"/>
        <v>42709</v>
      </c>
      <c r="D70" s="26" t="s">
        <v>195</v>
      </c>
      <c r="E70" s="118" t="s">
        <v>156</v>
      </c>
      <c r="F70" s="51">
        <f t="shared" si="5"/>
        <v>42709</v>
      </c>
      <c r="G70" s="30">
        <f>G69</f>
        <v>42710</v>
      </c>
      <c r="H70" s="114"/>
      <c r="I70" s="6"/>
      <c r="J70" s="51">
        <f t="shared" si="0"/>
        <v>42710</v>
      </c>
      <c r="K70" s="31">
        <f>K69</f>
        <v>42711</v>
      </c>
      <c r="L70" s="114" t="s">
        <v>71</v>
      </c>
      <c r="M70" s="120" t="s">
        <v>178</v>
      </c>
      <c r="N70" s="51">
        <f t="shared" si="1"/>
        <v>42711</v>
      </c>
      <c r="O70" s="31">
        <f>O69</f>
        <v>42712</v>
      </c>
      <c r="P70" s="114" t="s">
        <v>137</v>
      </c>
      <c r="Q70" s="6"/>
      <c r="R70" s="51">
        <f t="shared" si="2"/>
        <v>42712</v>
      </c>
      <c r="S70" s="31">
        <f>S69</f>
        <v>42713</v>
      </c>
      <c r="T70" s="114" t="s">
        <v>78</v>
      </c>
      <c r="U70" s="120" t="s">
        <v>178</v>
      </c>
      <c r="V70" s="51">
        <f t="shared" si="3"/>
        <v>42713</v>
      </c>
      <c r="W70" s="30">
        <f>W69</f>
        <v>42714</v>
      </c>
      <c r="X70" s="23"/>
      <c r="Y70" s="10"/>
      <c r="Z70" s="51">
        <f t="shared" si="4"/>
        <v>42714</v>
      </c>
    </row>
    <row r="71" spans="2:26" x14ac:dyDescent="0.2">
      <c r="B71" s="266"/>
      <c r="C71" s="32">
        <f t="shared" si="6"/>
        <v>42709</v>
      </c>
      <c r="D71" s="122"/>
      <c r="E71" s="124"/>
      <c r="F71" s="52">
        <f t="shared" si="5"/>
        <v>42709</v>
      </c>
      <c r="G71" s="98">
        <f>G70</f>
        <v>42710</v>
      </c>
      <c r="H71" s="24"/>
      <c r="I71" s="8"/>
      <c r="J71" s="52">
        <f t="shared" ref="J71:J116" si="17">G71</f>
        <v>42710</v>
      </c>
      <c r="K71" s="32">
        <f>K70</f>
        <v>42711</v>
      </c>
      <c r="L71" s="122" t="s">
        <v>64</v>
      </c>
      <c r="M71" s="124" t="s">
        <v>178</v>
      </c>
      <c r="N71" s="52">
        <f t="shared" ref="N71:N116" si="18">K71</f>
        <v>42711</v>
      </c>
      <c r="O71" s="32">
        <f>O70</f>
        <v>42712</v>
      </c>
      <c r="P71" s="24" t="s">
        <v>137</v>
      </c>
      <c r="Q71" s="8"/>
      <c r="R71" s="52">
        <f t="shared" ref="R71:R116" si="19">O71</f>
        <v>42712</v>
      </c>
      <c r="S71" s="32">
        <f>S70</f>
        <v>42713</v>
      </c>
      <c r="T71" s="122" t="s">
        <v>79</v>
      </c>
      <c r="U71" s="124" t="s">
        <v>192</v>
      </c>
      <c r="V71" s="52">
        <f t="shared" ref="V71:V116" si="20">S71</f>
        <v>42713</v>
      </c>
      <c r="W71" s="98">
        <f>W70</f>
        <v>42714</v>
      </c>
      <c r="X71" s="122"/>
      <c r="Y71" s="124"/>
      <c r="Z71" s="51">
        <f t="shared" ref="Z71:Z116" si="21">W71</f>
        <v>42714</v>
      </c>
    </row>
    <row r="72" spans="2:26" x14ac:dyDescent="0.2">
      <c r="B72" s="264">
        <f t="shared" ref="B72" si="22">B67+1</f>
        <v>14</v>
      </c>
      <c r="C72" s="151">
        <f>C67+7</f>
        <v>42716</v>
      </c>
      <c r="D72" s="113" t="s">
        <v>73</v>
      </c>
      <c r="E72" s="125" t="s">
        <v>190</v>
      </c>
      <c r="F72" s="49">
        <f t="shared" ref="F72:F116" si="23">C72</f>
        <v>42716</v>
      </c>
      <c r="G72" s="5">
        <f>C72+1</f>
        <v>42717</v>
      </c>
      <c r="H72" s="22"/>
      <c r="I72" s="15"/>
      <c r="J72" s="49">
        <f t="shared" si="17"/>
        <v>42717</v>
      </c>
      <c r="K72" s="5">
        <f>G72+1</f>
        <v>42718</v>
      </c>
      <c r="L72" s="113" t="s">
        <v>66</v>
      </c>
      <c r="M72" s="117" t="s">
        <v>138</v>
      </c>
      <c r="N72" s="49">
        <f t="shared" si="18"/>
        <v>42718</v>
      </c>
      <c r="O72" s="5">
        <f>K72+1</f>
        <v>42719</v>
      </c>
      <c r="P72" s="113"/>
      <c r="Q72" s="125"/>
      <c r="R72" s="49">
        <f t="shared" si="19"/>
        <v>42719</v>
      </c>
      <c r="S72" s="5">
        <f>O72+1</f>
        <v>42720</v>
      </c>
      <c r="T72" s="113"/>
      <c r="U72" s="117"/>
      <c r="V72" s="49">
        <f t="shared" si="20"/>
        <v>42720</v>
      </c>
      <c r="W72" s="5">
        <f>S72+1</f>
        <v>42721</v>
      </c>
      <c r="X72" s="113" t="s">
        <v>72</v>
      </c>
      <c r="Y72" s="125" t="s">
        <v>49</v>
      </c>
      <c r="Z72" s="50">
        <f t="shared" si="21"/>
        <v>42721</v>
      </c>
    </row>
    <row r="73" spans="2:26" x14ac:dyDescent="0.2">
      <c r="B73" s="265"/>
      <c r="C73" s="101">
        <f t="shared" si="6"/>
        <v>42716</v>
      </c>
      <c r="D73" s="114" t="s">
        <v>75</v>
      </c>
      <c r="E73" s="119" t="s">
        <v>194</v>
      </c>
      <c r="F73" s="50">
        <f t="shared" si="23"/>
        <v>42716</v>
      </c>
      <c r="G73" s="30">
        <f>G72</f>
        <v>42717</v>
      </c>
      <c r="H73" s="114"/>
      <c r="I73" s="119"/>
      <c r="J73" s="50">
        <f t="shared" si="17"/>
        <v>42717</v>
      </c>
      <c r="K73" s="30">
        <f>K72</f>
        <v>42718</v>
      </c>
      <c r="L73" s="114" t="s">
        <v>65</v>
      </c>
      <c r="M73" s="119" t="s">
        <v>135</v>
      </c>
      <c r="N73" s="50">
        <f t="shared" si="18"/>
        <v>42718</v>
      </c>
      <c r="O73" s="30">
        <f>O72</f>
        <v>42719</v>
      </c>
      <c r="P73" s="23"/>
      <c r="Q73" s="10"/>
      <c r="R73" s="50">
        <f t="shared" si="19"/>
        <v>42719</v>
      </c>
      <c r="S73" s="30">
        <f>S72</f>
        <v>42720</v>
      </c>
      <c r="T73" s="114" t="s">
        <v>62</v>
      </c>
      <c r="U73" s="119" t="s">
        <v>178</v>
      </c>
      <c r="V73" s="50">
        <f t="shared" si="20"/>
        <v>42720</v>
      </c>
      <c r="W73" s="30">
        <f>W72</f>
        <v>42721</v>
      </c>
      <c r="X73" s="23"/>
      <c r="Y73" s="10"/>
      <c r="Z73" s="50">
        <f t="shared" si="21"/>
        <v>42721</v>
      </c>
    </row>
    <row r="74" spans="2:26" x14ac:dyDescent="0.2">
      <c r="B74" s="265"/>
      <c r="C74" s="101">
        <f t="shared" si="6"/>
        <v>42716</v>
      </c>
      <c r="D74" s="114" t="s">
        <v>75</v>
      </c>
      <c r="E74" s="118" t="s">
        <v>194</v>
      </c>
      <c r="F74" s="51">
        <f t="shared" si="23"/>
        <v>42716</v>
      </c>
      <c r="G74" s="31">
        <f>G73</f>
        <v>42717</v>
      </c>
      <c r="H74" s="114"/>
      <c r="I74" s="120"/>
      <c r="J74" s="51">
        <f t="shared" si="17"/>
        <v>42717</v>
      </c>
      <c r="K74" s="31">
        <f>K73</f>
        <v>42718</v>
      </c>
      <c r="L74" s="114" t="s">
        <v>65</v>
      </c>
      <c r="M74" s="118" t="s">
        <v>135</v>
      </c>
      <c r="N74" s="51">
        <f t="shared" si="18"/>
        <v>42718</v>
      </c>
      <c r="O74" s="31">
        <f>O73</f>
        <v>42719</v>
      </c>
      <c r="P74" s="23"/>
      <c r="Q74" s="6"/>
      <c r="R74" s="51">
        <f t="shared" si="19"/>
        <v>42719</v>
      </c>
      <c r="S74" s="31">
        <f>S73</f>
        <v>42720</v>
      </c>
      <c r="T74" s="114" t="s">
        <v>62</v>
      </c>
      <c r="U74" s="118" t="s">
        <v>178</v>
      </c>
      <c r="V74" s="51">
        <f t="shared" si="20"/>
        <v>42720</v>
      </c>
      <c r="W74" s="31">
        <f>W73</f>
        <v>42721</v>
      </c>
      <c r="X74" s="23"/>
      <c r="Y74" s="6"/>
      <c r="Z74" s="51">
        <f t="shared" si="21"/>
        <v>42721</v>
      </c>
    </row>
    <row r="75" spans="2:26" x14ac:dyDescent="0.2">
      <c r="B75" s="265"/>
      <c r="C75" s="31">
        <f t="shared" si="6"/>
        <v>42716</v>
      </c>
      <c r="D75" s="210" t="s">
        <v>63</v>
      </c>
      <c r="E75" s="126" t="s">
        <v>135</v>
      </c>
      <c r="F75" s="51">
        <f t="shared" si="23"/>
        <v>42716</v>
      </c>
      <c r="G75" s="31">
        <f>G74</f>
        <v>42717</v>
      </c>
      <c r="H75" s="114"/>
      <c r="I75" s="120"/>
      <c r="J75" s="51">
        <f t="shared" si="17"/>
        <v>42717</v>
      </c>
      <c r="K75" s="31">
        <f>K74</f>
        <v>42718</v>
      </c>
      <c r="L75" s="114" t="s">
        <v>77</v>
      </c>
      <c r="M75" s="120" t="s">
        <v>87</v>
      </c>
      <c r="N75" s="51">
        <f t="shared" si="18"/>
        <v>42718</v>
      </c>
      <c r="O75" s="31">
        <f>O74</f>
        <v>42719</v>
      </c>
      <c r="P75" s="114"/>
      <c r="Q75" s="120"/>
      <c r="R75" s="51">
        <f t="shared" si="19"/>
        <v>42719</v>
      </c>
      <c r="S75" s="31">
        <f>S74</f>
        <v>42720</v>
      </c>
      <c r="T75" s="114" t="s">
        <v>85</v>
      </c>
      <c r="U75" s="120" t="s">
        <v>178</v>
      </c>
      <c r="V75" s="51">
        <f t="shared" si="20"/>
        <v>42720</v>
      </c>
      <c r="W75" s="101">
        <f>W74</f>
        <v>42721</v>
      </c>
      <c r="X75" s="114"/>
      <c r="Y75" s="120"/>
      <c r="Z75" s="51">
        <f t="shared" si="21"/>
        <v>42721</v>
      </c>
    </row>
    <row r="76" spans="2:26" x14ac:dyDescent="0.2">
      <c r="B76" s="266"/>
      <c r="C76" s="32">
        <f t="shared" si="6"/>
        <v>42716</v>
      </c>
      <c r="D76" s="122"/>
      <c r="E76" s="124"/>
      <c r="F76" s="52">
        <f t="shared" si="23"/>
        <v>42716</v>
      </c>
      <c r="G76" s="32">
        <f>G75</f>
        <v>42717</v>
      </c>
      <c r="H76" s="122"/>
      <c r="I76" s="124"/>
      <c r="J76" s="52">
        <f t="shared" si="17"/>
        <v>42717</v>
      </c>
      <c r="K76" s="32">
        <f>K75</f>
        <v>42718</v>
      </c>
      <c r="L76" s="122" t="s">
        <v>68</v>
      </c>
      <c r="M76" s="124" t="s">
        <v>178</v>
      </c>
      <c r="N76" s="52">
        <f t="shared" si="18"/>
        <v>42718</v>
      </c>
      <c r="O76" s="32">
        <f>O75</f>
        <v>42719</v>
      </c>
      <c r="P76" s="24"/>
      <c r="Q76" s="8"/>
      <c r="R76" s="52">
        <f t="shared" si="19"/>
        <v>42719</v>
      </c>
      <c r="S76" s="32">
        <f>S75</f>
        <v>42720</v>
      </c>
      <c r="T76" s="122"/>
      <c r="U76" s="124"/>
      <c r="V76" s="52">
        <f t="shared" si="20"/>
        <v>42720</v>
      </c>
      <c r="W76" s="32">
        <f>W75</f>
        <v>42721</v>
      </c>
      <c r="X76" s="122" t="s">
        <v>84</v>
      </c>
      <c r="Y76" s="124" t="s">
        <v>158</v>
      </c>
      <c r="Z76" s="51">
        <f t="shared" si="21"/>
        <v>42721</v>
      </c>
    </row>
    <row r="77" spans="2:26" x14ac:dyDescent="0.2">
      <c r="B77" s="272" t="s">
        <v>14</v>
      </c>
      <c r="C77" s="11">
        <f>C72+7</f>
        <v>42723</v>
      </c>
      <c r="D77" s="20"/>
      <c r="E77" s="16"/>
      <c r="F77" s="53">
        <f t="shared" si="23"/>
        <v>42723</v>
      </c>
      <c r="G77" s="11">
        <f>C77+1</f>
        <v>42724</v>
      </c>
      <c r="H77" s="20"/>
      <c r="I77" s="16"/>
      <c r="J77" s="53">
        <f t="shared" si="17"/>
        <v>42724</v>
      </c>
      <c r="K77" s="11">
        <f>G77+1</f>
        <v>42725</v>
      </c>
      <c r="L77" s="152"/>
      <c r="M77" s="153"/>
      <c r="N77" s="53">
        <f t="shared" si="18"/>
        <v>42725</v>
      </c>
      <c r="O77" s="11">
        <f>K77+1</f>
        <v>42726</v>
      </c>
      <c r="P77" s="152"/>
      <c r="Q77" s="153"/>
      <c r="R77" s="53">
        <f t="shared" si="19"/>
        <v>42726</v>
      </c>
      <c r="S77" s="11">
        <f>O77+1</f>
        <v>42727</v>
      </c>
      <c r="T77" s="152"/>
      <c r="U77" s="154"/>
      <c r="V77" s="53">
        <f t="shared" si="20"/>
        <v>42727</v>
      </c>
      <c r="W77" s="11">
        <f>S77+1</f>
        <v>42728</v>
      </c>
      <c r="X77" s="20"/>
      <c r="Y77" s="16"/>
      <c r="Z77" s="50">
        <f t="shared" si="21"/>
        <v>42728</v>
      </c>
    </row>
    <row r="78" spans="2:26" x14ac:dyDescent="0.2">
      <c r="B78" s="265"/>
      <c r="C78" s="29">
        <f t="shared" ref="C78:C136" si="24">C77</f>
        <v>42723</v>
      </c>
      <c r="D78" s="155"/>
      <c r="E78" s="156"/>
      <c r="F78" s="48">
        <f t="shared" si="23"/>
        <v>42723</v>
      </c>
      <c r="G78" s="29">
        <f>G77</f>
        <v>42724</v>
      </c>
      <c r="H78" s="21"/>
      <c r="I78" s="12"/>
      <c r="J78" s="48">
        <f t="shared" si="17"/>
        <v>42724</v>
      </c>
      <c r="K78" s="29">
        <f>K77</f>
        <v>42725</v>
      </c>
      <c r="L78" s="155"/>
      <c r="M78" s="158"/>
      <c r="N78" s="48">
        <f t="shared" si="18"/>
        <v>42725</v>
      </c>
      <c r="O78" s="29">
        <f>O77</f>
        <v>42726</v>
      </c>
      <c r="P78" s="21"/>
      <c r="Q78" s="12"/>
      <c r="R78" s="48">
        <f t="shared" si="19"/>
        <v>42726</v>
      </c>
      <c r="S78" s="29">
        <f>S77</f>
        <v>42727</v>
      </c>
      <c r="T78" s="155"/>
      <c r="U78" s="158"/>
      <c r="V78" s="48">
        <f t="shared" si="20"/>
        <v>42727</v>
      </c>
      <c r="W78" s="157">
        <f>W77</f>
        <v>42728</v>
      </c>
      <c r="X78" s="21"/>
      <c r="Y78" s="12"/>
      <c r="Z78" s="50">
        <f t="shared" si="21"/>
        <v>42728</v>
      </c>
    </row>
    <row r="79" spans="2:26" x14ac:dyDescent="0.2">
      <c r="B79" s="265"/>
      <c r="C79" s="29">
        <f t="shared" si="24"/>
        <v>42723</v>
      </c>
      <c r="D79" s="155"/>
      <c r="E79" s="156"/>
      <c r="F79" s="48">
        <f t="shared" si="23"/>
        <v>42723</v>
      </c>
      <c r="G79" s="29">
        <f>G78</f>
        <v>42724</v>
      </c>
      <c r="H79" s="21"/>
      <c r="I79" s="12"/>
      <c r="J79" s="48">
        <f t="shared" si="17"/>
        <v>42724</v>
      </c>
      <c r="K79" s="29">
        <f>K78</f>
        <v>42725</v>
      </c>
      <c r="L79" s="155"/>
      <c r="M79" s="156"/>
      <c r="N79" s="48">
        <f t="shared" si="18"/>
        <v>42725</v>
      </c>
      <c r="O79" s="29">
        <f>O78</f>
        <v>42726</v>
      </c>
      <c r="P79" s="21"/>
      <c r="Q79" s="12"/>
      <c r="R79" s="48">
        <f t="shared" si="19"/>
        <v>42726</v>
      </c>
      <c r="S79" s="29">
        <f>S78</f>
        <v>42727</v>
      </c>
      <c r="T79" s="155"/>
      <c r="U79" s="156"/>
      <c r="V79" s="48">
        <f t="shared" si="20"/>
        <v>42727</v>
      </c>
      <c r="W79" s="157">
        <f>W78</f>
        <v>42728</v>
      </c>
      <c r="X79" s="21"/>
      <c r="Y79" s="12"/>
      <c r="Z79" s="51">
        <f t="shared" si="21"/>
        <v>42728</v>
      </c>
    </row>
    <row r="80" spans="2:26" x14ac:dyDescent="0.2">
      <c r="B80" s="265"/>
      <c r="C80" s="29">
        <f t="shared" si="24"/>
        <v>42723</v>
      </c>
      <c r="D80" s="155"/>
      <c r="E80" s="158"/>
      <c r="F80" s="48">
        <f t="shared" si="23"/>
        <v>42723</v>
      </c>
      <c r="G80" s="29">
        <f>G79</f>
        <v>42724</v>
      </c>
      <c r="H80" s="155"/>
      <c r="I80" s="158"/>
      <c r="J80" s="48">
        <f t="shared" si="17"/>
        <v>42724</v>
      </c>
      <c r="K80" s="29">
        <f>K79</f>
        <v>42725</v>
      </c>
      <c r="L80" s="21"/>
      <c r="M80" s="12"/>
      <c r="N80" s="48">
        <f t="shared" si="18"/>
        <v>42725</v>
      </c>
      <c r="O80" s="29">
        <f>O79</f>
        <v>42726</v>
      </c>
      <c r="P80" s="155"/>
      <c r="Q80" s="156"/>
      <c r="R80" s="48">
        <f t="shared" si="19"/>
        <v>42726</v>
      </c>
      <c r="S80" s="29">
        <f>S79</f>
        <v>42727</v>
      </c>
      <c r="T80" s="21"/>
      <c r="U80" s="12"/>
      <c r="V80" s="48">
        <f t="shared" si="20"/>
        <v>42727</v>
      </c>
      <c r="W80" s="157">
        <f>W79</f>
        <v>42728</v>
      </c>
      <c r="X80" s="21"/>
      <c r="Y80" s="12"/>
      <c r="Z80" s="51">
        <f t="shared" si="21"/>
        <v>42728</v>
      </c>
    </row>
    <row r="81" spans="2:26" x14ac:dyDescent="0.2">
      <c r="B81" s="266"/>
      <c r="C81" s="72">
        <f t="shared" si="24"/>
        <v>42723</v>
      </c>
      <c r="D81" s="159"/>
      <c r="E81" s="160"/>
      <c r="F81" s="74">
        <f t="shared" si="23"/>
        <v>42723</v>
      </c>
      <c r="G81" s="72">
        <f>G80</f>
        <v>42724</v>
      </c>
      <c r="H81" s="70"/>
      <c r="I81" s="71"/>
      <c r="J81" s="74">
        <f t="shared" si="17"/>
        <v>42724</v>
      </c>
      <c r="K81" s="72">
        <f>K80</f>
        <v>42725</v>
      </c>
      <c r="L81" s="70"/>
      <c r="M81" s="71"/>
      <c r="N81" s="74">
        <f t="shared" si="18"/>
        <v>42725</v>
      </c>
      <c r="O81" s="72">
        <f>O80</f>
        <v>42726</v>
      </c>
      <c r="P81" s="159"/>
      <c r="Q81" s="160"/>
      <c r="R81" s="74">
        <f t="shared" si="19"/>
        <v>42726</v>
      </c>
      <c r="S81" s="72">
        <f>S80</f>
        <v>42727</v>
      </c>
      <c r="T81" s="70"/>
      <c r="U81" s="71"/>
      <c r="V81" s="74">
        <f t="shared" si="20"/>
        <v>42727</v>
      </c>
      <c r="W81" s="161">
        <f>W80</f>
        <v>42728</v>
      </c>
      <c r="X81" s="159"/>
      <c r="Y81" s="160"/>
      <c r="Z81" s="51">
        <f t="shared" si="21"/>
        <v>42728</v>
      </c>
    </row>
    <row r="82" spans="2:26" x14ac:dyDescent="0.2">
      <c r="B82" s="267" t="s">
        <v>14</v>
      </c>
      <c r="C82" s="11">
        <f>C77+7</f>
        <v>42730</v>
      </c>
      <c r="D82" s="20"/>
      <c r="E82" s="16"/>
      <c r="F82" s="53">
        <f t="shared" si="23"/>
        <v>42730</v>
      </c>
      <c r="G82" s="11">
        <f>C82+1</f>
        <v>42731</v>
      </c>
      <c r="H82" s="20"/>
      <c r="I82" s="16"/>
      <c r="J82" s="53">
        <f t="shared" si="17"/>
        <v>42731</v>
      </c>
      <c r="K82" s="78">
        <f>G82+1</f>
        <v>42732</v>
      </c>
      <c r="L82" s="20"/>
      <c r="M82" s="16"/>
      <c r="N82" s="75">
        <f t="shared" si="18"/>
        <v>42732</v>
      </c>
      <c r="O82" s="78">
        <f>K82+1</f>
        <v>42733</v>
      </c>
      <c r="P82" s="20"/>
      <c r="Q82" s="16"/>
      <c r="R82" s="75">
        <f t="shared" si="19"/>
        <v>42733</v>
      </c>
      <c r="S82" s="78">
        <f>O82+1</f>
        <v>42734</v>
      </c>
      <c r="T82" s="20"/>
      <c r="U82" s="16"/>
      <c r="V82" s="75">
        <f t="shared" si="20"/>
        <v>42734</v>
      </c>
      <c r="W82" s="78">
        <f>S82+1</f>
        <v>42735</v>
      </c>
      <c r="X82" s="20"/>
      <c r="Y82" s="16"/>
      <c r="Z82" s="50">
        <f t="shared" si="21"/>
        <v>42735</v>
      </c>
    </row>
    <row r="83" spans="2:26" x14ac:dyDescent="0.2">
      <c r="B83" s="265"/>
      <c r="C83" s="29">
        <f t="shared" si="24"/>
        <v>42730</v>
      </c>
      <c r="D83" s="21"/>
      <c r="E83" s="12"/>
      <c r="F83" s="48">
        <f t="shared" si="23"/>
        <v>42730</v>
      </c>
      <c r="G83" s="29">
        <f>G82</f>
        <v>42731</v>
      </c>
      <c r="H83" s="21"/>
      <c r="I83" s="12"/>
      <c r="J83" s="48">
        <f t="shared" si="17"/>
        <v>42731</v>
      </c>
      <c r="K83" s="29">
        <f>K82</f>
        <v>42732</v>
      </c>
      <c r="L83" s="21"/>
      <c r="M83" s="12"/>
      <c r="N83" s="76">
        <f t="shared" si="18"/>
        <v>42732</v>
      </c>
      <c r="O83" s="29">
        <f>O82</f>
        <v>42733</v>
      </c>
      <c r="P83" s="21"/>
      <c r="Q83" s="12"/>
      <c r="R83" s="76">
        <f t="shared" si="19"/>
        <v>42733</v>
      </c>
      <c r="S83" s="29">
        <f>S82</f>
        <v>42734</v>
      </c>
      <c r="T83" s="21"/>
      <c r="U83" s="12"/>
      <c r="V83" s="76">
        <f t="shared" si="20"/>
        <v>42734</v>
      </c>
      <c r="W83" s="29">
        <f>W82</f>
        <v>42735</v>
      </c>
      <c r="X83" s="21"/>
      <c r="Y83" s="12"/>
      <c r="Z83" s="50">
        <f t="shared" si="21"/>
        <v>42735</v>
      </c>
    </row>
    <row r="84" spans="2:26" x14ac:dyDescent="0.2">
      <c r="B84" s="265"/>
      <c r="C84" s="29">
        <f t="shared" si="24"/>
        <v>42730</v>
      </c>
      <c r="D84" s="21"/>
      <c r="E84" s="12"/>
      <c r="F84" s="48">
        <f t="shared" si="23"/>
        <v>42730</v>
      </c>
      <c r="G84" s="29">
        <f>G83</f>
        <v>42731</v>
      </c>
      <c r="H84" s="21"/>
      <c r="I84" s="12"/>
      <c r="J84" s="48">
        <f t="shared" si="17"/>
        <v>42731</v>
      </c>
      <c r="K84" s="29">
        <f>K83</f>
        <v>42732</v>
      </c>
      <c r="L84" s="21"/>
      <c r="M84" s="12"/>
      <c r="N84" s="76">
        <f t="shared" si="18"/>
        <v>42732</v>
      </c>
      <c r="O84" s="29">
        <f>O83</f>
        <v>42733</v>
      </c>
      <c r="P84" s="21"/>
      <c r="Q84" s="12"/>
      <c r="R84" s="76">
        <f t="shared" si="19"/>
        <v>42733</v>
      </c>
      <c r="S84" s="29">
        <f>S83</f>
        <v>42734</v>
      </c>
      <c r="T84" s="21"/>
      <c r="U84" s="12"/>
      <c r="V84" s="76">
        <f t="shared" si="20"/>
        <v>42734</v>
      </c>
      <c r="W84" s="29">
        <f>W83</f>
        <v>42735</v>
      </c>
      <c r="X84" s="21"/>
      <c r="Y84" s="12"/>
      <c r="Z84" s="51">
        <f t="shared" si="21"/>
        <v>42735</v>
      </c>
    </row>
    <row r="85" spans="2:26" x14ac:dyDescent="0.2">
      <c r="B85" s="265"/>
      <c r="C85" s="29">
        <f t="shared" si="24"/>
        <v>42730</v>
      </c>
      <c r="D85" s="21"/>
      <c r="E85" s="12"/>
      <c r="F85" s="48">
        <f t="shared" si="23"/>
        <v>42730</v>
      </c>
      <c r="G85" s="29">
        <f>G84</f>
        <v>42731</v>
      </c>
      <c r="H85" s="21"/>
      <c r="I85" s="12"/>
      <c r="J85" s="48">
        <f t="shared" si="17"/>
        <v>42731</v>
      </c>
      <c r="K85" s="29">
        <f>K84</f>
        <v>42732</v>
      </c>
      <c r="L85" s="21"/>
      <c r="M85" s="12"/>
      <c r="N85" s="76">
        <f t="shared" si="18"/>
        <v>42732</v>
      </c>
      <c r="O85" s="29">
        <f>O84</f>
        <v>42733</v>
      </c>
      <c r="P85" s="21"/>
      <c r="Q85" s="12"/>
      <c r="R85" s="76">
        <f t="shared" si="19"/>
        <v>42733</v>
      </c>
      <c r="S85" s="29">
        <f>S84</f>
        <v>42734</v>
      </c>
      <c r="T85" s="21"/>
      <c r="U85" s="12"/>
      <c r="V85" s="76">
        <f t="shared" si="20"/>
        <v>42734</v>
      </c>
      <c r="W85" s="29">
        <f>W84</f>
        <v>42735</v>
      </c>
      <c r="X85" s="21"/>
      <c r="Y85" s="12"/>
      <c r="Z85" s="51">
        <f t="shared" si="21"/>
        <v>42735</v>
      </c>
    </row>
    <row r="86" spans="2:26" x14ac:dyDescent="0.2">
      <c r="B86" s="266"/>
      <c r="C86" s="72">
        <f t="shared" si="24"/>
        <v>42730</v>
      </c>
      <c r="D86" s="70"/>
      <c r="E86" s="71"/>
      <c r="F86" s="74">
        <f t="shared" si="23"/>
        <v>42730</v>
      </c>
      <c r="G86" s="72">
        <f>G85</f>
        <v>42731</v>
      </c>
      <c r="H86" s="70"/>
      <c r="I86" s="71"/>
      <c r="J86" s="74">
        <f t="shared" si="17"/>
        <v>42731</v>
      </c>
      <c r="K86" s="72">
        <f>K85</f>
        <v>42732</v>
      </c>
      <c r="L86" s="70"/>
      <c r="M86" s="71"/>
      <c r="N86" s="77">
        <f t="shared" si="18"/>
        <v>42732</v>
      </c>
      <c r="O86" s="72">
        <f>O85</f>
        <v>42733</v>
      </c>
      <c r="P86" s="70"/>
      <c r="Q86" s="71"/>
      <c r="R86" s="77">
        <f t="shared" si="19"/>
        <v>42733</v>
      </c>
      <c r="S86" s="72">
        <f>S85</f>
        <v>42734</v>
      </c>
      <c r="T86" s="70"/>
      <c r="U86" s="71"/>
      <c r="V86" s="77">
        <f t="shared" si="20"/>
        <v>42734</v>
      </c>
      <c r="W86" s="72">
        <f>W85</f>
        <v>42735</v>
      </c>
      <c r="X86" s="70"/>
      <c r="Y86" s="71"/>
      <c r="Z86" s="51">
        <f t="shared" si="21"/>
        <v>42735</v>
      </c>
    </row>
    <row r="87" spans="2:26" x14ac:dyDescent="0.2">
      <c r="B87" s="267" t="s">
        <v>14</v>
      </c>
      <c r="C87" s="162">
        <f>C82+7</f>
        <v>42737</v>
      </c>
      <c r="D87" s="176"/>
      <c r="E87" s="164"/>
      <c r="F87" s="165">
        <f t="shared" si="23"/>
        <v>42737</v>
      </c>
      <c r="G87" s="162">
        <f>C87+1</f>
        <v>42738</v>
      </c>
      <c r="H87" s="176" t="s">
        <v>69</v>
      </c>
      <c r="I87" s="164" t="s">
        <v>49</v>
      </c>
      <c r="J87" s="165">
        <f t="shared" si="17"/>
        <v>42738</v>
      </c>
      <c r="K87" s="166">
        <f>G87+1</f>
        <v>42739</v>
      </c>
      <c r="L87" s="176" t="s">
        <v>72</v>
      </c>
      <c r="M87" s="164" t="s">
        <v>49</v>
      </c>
      <c r="N87" s="167">
        <f t="shared" si="18"/>
        <v>42739</v>
      </c>
      <c r="O87" s="166">
        <f>K87+1</f>
        <v>42740</v>
      </c>
      <c r="P87" s="163"/>
      <c r="Q87" s="164"/>
      <c r="R87" s="167">
        <f t="shared" si="19"/>
        <v>42740</v>
      </c>
      <c r="S87" s="166">
        <f>O87+1</f>
        <v>42741</v>
      </c>
      <c r="T87" s="176" t="s">
        <v>66</v>
      </c>
      <c r="U87" s="177" t="s">
        <v>49</v>
      </c>
      <c r="V87" s="167">
        <f t="shared" si="20"/>
        <v>42741</v>
      </c>
      <c r="W87" s="162">
        <f>S87+1</f>
        <v>42742</v>
      </c>
      <c r="X87" s="163"/>
      <c r="Y87" s="164"/>
      <c r="Z87" s="50">
        <f t="shared" si="21"/>
        <v>42742</v>
      </c>
    </row>
    <row r="88" spans="2:26" x14ac:dyDescent="0.2">
      <c r="B88" s="265"/>
      <c r="C88" s="213">
        <f t="shared" si="24"/>
        <v>42737</v>
      </c>
      <c r="D88" s="168"/>
      <c r="E88" s="169"/>
      <c r="F88" s="170">
        <f t="shared" si="23"/>
        <v>42737</v>
      </c>
      <c r="G88" s="213">
        <f>G87</f>
        <v>42738</v>
      </c>
      <c r="H88" s="168" t="s">
        <v>62</v>
      </c>
      <c r="I88" s="169" t="s">
        <v>48</v>
      </c>
      <c r="J88" s="170">
        <f t="shared" si="17"/>
        <v>42738</v>
      </c>
      <c r="K88" s="213">
        <f>K87</f>
        <v>42739</v>
      </c>
      <c r="L88" s="168" t="s">
        <v>76</v>
      </c>
      <c r="M88" s="169" t="s">
        <v>48</v>
      </c>
      <c r="N88" s="171">
        <f t="shared" si="18"/>
        <v>42739</v>
      </c>
      <c r="O88" s="213">
        <f>O87</f>
        <v>42740</v>
      </c>
      <c r="P88" s="168"/>
      <c r="Q88" s="169"/>
      <c r="R88" s="171">
        <f t="shared" si="19"/>
        <v>42740</v>
      </c>
      <c r="S88" s="213">
        <f>S87</f>
        <v>42741</v>
      </c>
      <c r="T88" s="168" t="s">
        <v>67</v>
      </c>
      <c r="U88" s="178" t="s">
        <v>48</v>
      </c>
      <c r="V88" s="171">
        <f t="shared" si="20"/>
        <v>42741</v>
      </c>
      <c r="W88" s="213">
        <f>W87</f>
        <v>42742</v>
      </c>
      <c r="X88" s="168"/>
      <c r="Y88" s="169"/>
      <c r="Z88" s="50">
        <f t="shared" si="21"/>
        <v>42742</v>
      </c>
    </row>
    <row r="89" spans="2:26" x14ac:dyDescent="0.2">
      <c r="B89" s="265"/>
      <c r="C89" s="213">
        <f t="shared" si="24"/>
        <v>42737</v>
      </c>
      <c r="D89" s="168"/>
      <c r="E89" s="169"/>
      <c r="F89" s="170">
        <f t="shared" si="23"/>
        <v>42737</v>
      </c>
      <c r="G89" s="213">
        <f>G88</f>
        <v>42738</v>
      </c>
      <c r="H89" s="168" t="s">
        <v>62</v>
      </c>
      <c r="I89" s="169" t="s">
        <v>48</v>
      </c>
      <c r="J89" s="170">
        <f t="shared" si="17"/>
        <v>42738</v>
      </c>
      <c r="K89" s="213">
        <f>K88</f>
        <v>42739</v>
      </c>
      <c r="L89" s="114" t="s">
        <v>193</v>
      </c>
      <c r="M89" s="169" t="s">
        <v>48</v>
      </c>
      <c r="N89" s="171">
        <f t="shared" si="18"/>
        <v>42739</v>
      </c>
      <c r="O89" s="213">
        <f>O88</f>
        <v>42740</v>
      </c>
      <c r="P89" s="168"/>
      <c r="Q89" s="169"/>
      <c r="R89" s="171">
        <f t="shared" si="19"/>
        <v>42740</v>
      </c>
      <c r="S89" s="213">
        <f>S88</f>
        <v>42741</v>
      </c>
      <c r="T89" s="168" t="s">
        <v>67</v>
      </c>
      <c r="U89" s="169" t="s">
        <v>48</v>
      </c>
      <c r="V89" s="171">
        <f t="shared" si="20"/>
        <v>42741</v>
      </c>
      <c r="W89" s="213">
        <f>W88</f>
        <v>42742</v>
      </c>
      <c r="X89" s="168"/>
      <c r="Y89" s="169"/>
      <c r="Z89" s="51">
        <f t="shared" si="21"/>
        <v>42742</v>
      </c>
    </row>
    <row r="90" spans="2:26" x14ac:dyDescent="0.2">
      <c r="B90" s="265"/>
      <c r="C90" s="213">
        <f t="shared" si="24"/>
        <v>42737</v>
      </c>
      <c r="D90" s="168"/>
      <c r="E90" s="169"/>
      <c r="F90" s="170">
        <f t="shared" si="23"/>
        <v>42737</v>
      </c>
      <c r="G90" s="213">
        <f>G89</f>
        <v>42738</v>
      </c>
      <c r="H90" s="168" t="s">
        <v>71</v>
      </c>
      <c r="I90" s="169" t="s">
        <v>49</v>
      </c>
      <c r="J90" s="170">
        <f t="shared" si="17"/>
        <v>42738</v>
      </c>
      <c r="K90" s="213">
        <f>K89</f>
        <v>42739</v>
      </c>
      <c r="L90" s="168" t="s">
        <v>63</v>
      </c>
      <c r="M90" s="169" t="s">
        <v>49</v>
      </c>
      <c r="N90" s="171">
        <f t="shared" si="18"/>
        <v>42739</v>
      </c>
      <c r="O90" s="213">
        <f>O89</f>
        <v>42740</v>
      </c>
      <c r="P90" s="168"/>
      <c r="Q90" s="169"/>
      <c r="R90" s="171">
        <f t="shared" si="19"/>
        <v>42740</v>
      </c>
      <c r="S90" s="213">
        <f>S89</f>
        <v>42741</v>
      </c>
      <c r="T90" s="168" t="s">
        <v>78</v>
      </c>
      <c r="U90" s="169" t="s">
        <v>49</v>
      </c>
      <c r="V90" s="171">
        <f t="shared" si="20"/>
        <v>42741</v>
      </c>
      <c r="W90" s="213">
        <f>W89</f>
        <v>42742</v>
      </c>
      <c r="X90" s="168"/>
      <c r="Y90" s="169"/>
      <c r="Z90" s="51">
        <f t="shared" si="21"/>
        <v>42742</v>
      </c>
    </row>
    <row r="91" spans="2:26" x14ac:dyDescent="0.2">
      <c r="B91" s="266"/>
      <c r="C91" s="214">
        <f t="shared" si="24"/>
        <v>42737</v>
      </c>
      <c r="D91" s="172"/>
      <c r="E91" s="173"/>
      <c r="F91" s="174">
        <f t="shared" si="23"/>
        <v>42737</v>
      </c>
      <c r="G91" s="214">
        <f>G90</f>
        <v>42738</v>
      </c>
      <c r="H91" s="232" t="s">
        <v>79</v>
      </c>
      <c r="I91" s="173" t="s">
        <v>49</v>
      </c>
      <c r="J91" s="174">
        <f t="shared" si="17"/>
        <v>42738</v>
      </c>
      <c r="K91" s="214">
        <f>K90</f>
        <v>42739</v>
      </c>
      <c r="L91" s="232" t="s">
        <v>187</v>
      </c>
      <c r="M91" s="173" t="s">
        <v>49</v>
      </c>
      <c r="N91" s="175">
        <f t="shared" si="18"/>
        <v>42739</v>
      </c>
      <c r="O91" s="214">
        <f>O90</f>
        <v>42740</v>
      </c>
      <c r="P91" s="232" t="s">
        <v>182</v>
      </c>
      <c r="Q91" s="236" t="s">
        <v>48</v>
      </c>
      <c r="R91" s="175">
        <f t="shared" si="19"/>
        <v>42740</v>
      </c>
      <c r="S91" s="214">
        <f>S90</f>
        <v>42741</v>
      </c>
      <c r="T91" s="172" t="s">
        <v>68</v>
      </c>
      <c r="U91" s="173" t="s">
        <v>49</v>
      </c>
      <c r="V91" s="175">
        <f t="shared" si="20"/>
        <v>42741</v>
      </c>
      <c r="W91" s="214">
        <f>W90</f>
        <v>42742</v>
      </c>
      <c r="X91" s="172"/>
      <c r="Y91" s="173"/>
      <c r="Z91" s="51">
        <f t="shared" si="21"/>
        <v>42742</v>
      </c>
    </row>
    <row r="92" spans="2:26" x14ac:dyDescent="0.2">
      <c r="B92" s="264">
        <v>15</v>
      </c>
      <c r="C92" s="162">
        <f>C87+7</f>
        <v>42744</v>
      </c>
      <c r="D92" s="128" t="s">
        <v>73</v>
      </c>
      <c r="E92" s="17" t="s">
        <v>49</v>
      </c>
      <c r="F92" s="165">
        <f t="shared" si="23"/>
        <v>42744</v>
      </c>
      <c r="G92" s="162">
        <f>C92+1</f>
        <v>42745</v>
      </c>
      <c r="H92" s="163"/>
      <c r="I92" s="164"/>
      <c r="J92" s="165">
        <f t="shared" si="17"/>
        <v>42745</v>
      </c>
      <c r="K92" s="162">
        <f>G92+1</f>
        <v>42746</v>
      </c>
      <c r="L92" s="25" t="s">
        <v>74</v>
      </c>
      <c r="M92" s="17" t="s">
        <v>49</v>
      </c>
      <c r="N92" s="165">
        <f t="shared" si="18"/>
        <v>42746</v>
      </c>
      <c r="O92" s="162">
        <f>K92+1</f>
        <v>42747</v>
      </c>
      <c r="P92" s="163"/>
      <c r="Q92" s="164"/>
      <c r="R92" s="165">
        <f t="shared" si="19"/>
        <v>42747</v>
      </c>
      <c r="S92" s="162">
        <f>O92+1</f>
        <v>42748</v>
      </c>
      <c r="T92" s="128" t="s">
        <v>189</v>
      </c>
      <c r="U92" s="17" t="s">
        <v>87</v>
      </c>
      <c r="V92" s="165">
        <f t="shared" si="20"/>
        <v>42748</v>
      </c>
      <c r="W92" s="162">
        <f>S92+1</f>
        <v>42749</v>
      </c>
      <c r="X92" s="163"/>
      <c r="Y92" s="164"/>
      <c r="Z92" s="50">
        <f t="shared" si="21"/>
        <v>42749</v>
      </c>
    </row>
    <row r="93" spans="2:26" x14ac:dyDescent="0.2">
      <c r="B93" s="265"/>
      <c r="C93" s="213">
        <f t="shared" si="24"/>
        <v>42744</v>
      </c>
      <c r="D93" s="26" t="s">
        <v>65</v>
      </c>
      <c r="E93" s="7" t="s">
        <v>48</v>
      </c>
      <c r="F93" s="170">
        <f t="shared" si="23"/>
        <v>42744</v>
      </c>
      <c r="G93" s="213">
        <f>G92</f>
        <v>42745</v>
      </c>
      <c r="H93" s="168"/>
      <c r="I93" s="169"/>
      <c r="J93" s="170">
        <f t="shared" si="17"/>
        <v>42745</v>
      </c>
      <c r="K93" s="213">
        <f>K92</f>
        <v>42746</v>
      </c>
      <c r="L93" s="26" t="s">
        <v>75</v>
      </c>
      <c r="M93" s="7" t="s">
        <v>48</v>
      </c>
      <c r="N93" s="170">
        <f t="shared" si="18"/>
        <v>42746</v>
      </c>
      <c r="O93" s="213">
        <f>O92</f>
        <v>42747</v>
      </c>
      <c r="P93" s="168"/>
      <c r="Q93" s="169"/>
      <c r="R93" s="170">
        <f t="shared" si="19"/>
        <v>42747</v>
      </c>
      <c r="S93" s="213">
        <f>S92</f>
        <v>42748</v>
      </c>
      <c r="T93" s="210" t="s">
        <v>191</v>
      </c>
      <c r="U93" s="7" t="s">
        <v>48</v>
      </c>
      <c r="V93" s="170">
        <f t="shared" si="20"/>
        <v>42748</v>
      </c>
      <c r="W93" s="213">
        <f>W92</f>
        <v>42749</v>
      </c>
      <c r="X93" s="168"/>
      <c r="Y93" s="169"/>
      <c r="Z93" s="50">
        <f t="shared" si="21"/>
        <v>42749</v>
      </c>
    </row>
    <row r="94" spans="2:26" x14ac:dyDescent="0.2">
      <c r="B94" s="265"/>
      <c r="C94" s="213">
        <f t="shared" si="24"/>
        <v>42744</v>
      </c>
      <c r="D94" s="26" t="s">
        <v>65</v>
      </c>
      <c r="E94" s="7" t="s">
        <v>48</v>
      </c>
      <c r="F94" s="170">
        <f t="shared" si="23"/>
        <v>42744</v>
      </c>
      <c r="G94" s="213">
        <f>G93</f>
        <v>42745</v>
      </c>
      <c r="H94" s="168"/>
      <c r="I94" s="169"/>
      <c r="J94" s="170">
        <f t="shared" si="17"/>
        <v>42745</v>
      </c>
      <c r="K94" s="213">
        <f>K93</f>
        <v>42746</v>
      </c>
      <c r="L94" s="26" t="s">
        <v>75</v>
      </c>
      <c r="M94" s="7" t="s">
        <v>48</v>
      </c>
      <c r="N94" s="170">
        <f t="shared" si="18"/>
        <v>42746</v>
      </c>
      <c r="O94" s="213">
        <f>O93</f>
        <v>42747</v>
      </c>
      <c r="P94" s="168"/>
      <c r="Q94" s="169"/>
      <c r="R94" s="170">
        <f t="shared" si="19"/>
        <v>42747</v>
      </c>
      <c r="S94" s="213">
        <f>S93</f>
        <v>42748</v>
      </c>
      <c r="T94" s="210" t="s">
        <v>191</v>
      </c>
      <c r="U94" s="7" t="s">
        <v>48</v>
      </c>
      <c r="V94" s="170">
        <f t="shared" si="20"/>
        <v>42748</v>
      </c>
      <c r="W94" s="213">
        <f>W93</f>
        <v>42749</v>
      </c>
      <c r="X94" s="168"/>
      <c r="Y94" s="169"/>
      <c r="Z94" s="51">
        <f t="shared" si="21"/>
        <v>42749</v>
      </c>
    </row>
    <row r="95" spans="2:26" x14ac:dyDescent="0.2">
      <c r="B95" s="265"/>
      <c r="C95" s="213">
        <f t="shared" si="24"/>
        <v>42744</v>
      </c>
      <c r="D95" s="26" t="s">
        <v>195</v>
      </c>
      <c r="E95" s="7" t="s">
        <v>49</v>
      </c>
      <c r="F95" s="170">
        <f t="shared" si="23"/>
        <v>42744</v>
      </c>
      <c r="G95" s="213">
        <f>G94</f>
        <v>42745</v>
      </c>
      <c r="H95" s="168"/>
      <c r="I95" s="169"/>
      <c r="J95" s="170">
        <f t="shared" si="17"/>
        <v>42745</v>
      </c>
      <c r="K95" s="213">
        <f>K94</f>
        <v>42746</v>
      </c>
      <c r="L95" s="26" t="s">
        <v>77</v>
      </c>
      <c r="M95" s="7" t="s">
        <v>49</v>
      </c>
      <c r="N95" s="170">
        <f t="shared" si="18"/>
        <v>42746</v>
      </c>
      <c r="O95" s="213">
        <f>O94</f>
        <v>42747</v>
      </c>
      <c r="P95" s="168"/>
      <c r="Q95" s="169"/>
      <c r="R95" s="170">
        <f t="shared" si="19"/>
        <v>42747</v>
      </c>
      <c r="S95" s="213">
        <f>S94</f>
        <v>42748</v>
      </c>
      <c r="T95" s="210" t="s">
        <v>85</v>
      </c>
      <c r="U95" s="7" t="s">
        <v>49</v>
      </c>
      <c r="V95" s="170">
        <f t="shared" si="20"/>
        <v>42748</v>
      </c>
      <c r="W95" s="213">
        <f>W94</f>
        <v>42749</v>
      </c>
      <c r="X95" s="168"/>
      <c r="Y95" s="169"/>
      <c r="Z95" s="51">
        <f t="shared" si="21"/>
        <v>42749</v>
      </c>
    </row>
    <row r="96" spans="2:26" x14ac:dyDescent="0.2">
      <c r="B96" s="266"/>
      <c r="C96" s="214">
        <f t="shared" si="24"/>
        <v>42744</v>
      </c>
      <c r="D96" s="235" t="s">
        <v>185</v>
      </c>
      <c r="E96" s="9" t="s">
        <v>49</v>
      </c>
      <c r="F96" s="174">
        <f t="shared" si="23"/>
        <v>42744</v>
      </c>
      <c r="G96" s="214">
        <f>G95</f>
        <v>42745</v>
      </c>
      <c r="H96" s="172"/>
      <c r="I96" s="173"/>
      <c r="J96" s="174">
        <f t="shared" si="17"/>
        <v>42745</v>
      </c>
      <c r="K96" s="214">
        <f>K95</f>
        <v>42746</v>
      </c>
      <c r="L96" s="27" t="s">
        <v>84</v>
      </c>
      <c r="M96" s="9" t="s">
        <v>49</v>
      </c>
      <c r="N96" s="174">
        <f t="shared" si="18"/>
        <v>42746</v>
      </c>
      <c r="O96" s="214">
        <f>O95</f>
        <v>42747</v>
      </c>
      <c r="P96" s="172"/>
      <c r="Q96" s="173"/>
      <c r="R96" s="174">
        <f t="shared" si="19"/>
        <v>42747</v>
      </c>
      <c r="S96" s="214">
        <f>S95</f>
        <v>42748</v>
      </c>
      <c r="T96" s="27" t="s">
        <v>64</v>
      </c>
      <c r="U96" s="9" t="s">
        <v>49</v>
      </c>
      <c r="V96" s="174">
        <f t="shared" si="20"/>
        <v>42748</v>
      </c>
      <c r="W96" s="214">
        <f>W95</f>
        <v>42749</v>
      </c>
      <c r="X96" s="172"/>
      <c r="Y96" s="173"/>
      <c r="Z96" s="51">
        <f t="shared" si="21"/>
        <v>42749</v>
      </c>
    </row>
    <row r="97" spans="2:26" x14ac:dyDescent="0.2">
      <c r="B97" s="264">
        <f t="shared" ref="B97" si="25">B92+1</f>
        <v>16</v>
      </c>
      <c r="C97" s="4">
        <f>C92+7</f>
        <v>42751</v>
      </c>
      <c r="D97" s="176" t="s">
        <v>69</v>
      </c>
      <c r="E97" s="81" t="s">
        <v>49</v>
      </c>
      <c r="F97" s="54">
        <f t="shared" si="23"/>
        <v>42751</v>
      </c>
      <c r="G97" s="4">
        <f>C97+1</f>
        <v>42752</v>
      </c>
      <c r="H97" s="25"/>
      <c r="I97" s="17"/>
      <c r="J97" s="54">
        <f t="shared" si="17"/>
        <v>42752</v>
      </c>
      <c r="K97" s="4">
        <f>G97+1</f>
        <v>42753</v>
      </c>
      <c r="L97" s="176" t="s">
        <v>72</v>
      </c>
      <c r="M97" s="81" t="s">
        <v>49</v>
      </c>
      <c r="N97" s="54">
        <f t="shared" si="18"/>
        <v>42753</v>
      </c>
      <c r="O97" s="4">
        <f>K97+1</f>
        <v>42754</v>
      </c>
      <c r="P97" s="25"/>
      <c r="Q97" s="17"/>
      <c r="R97" s="54">
        <f t="shared" si="19"/>
        <v>42754</v>
      </c>
      <c r="S97" s="4">
        <f>O97+1</f>
        <v>42755</v>
      </c>
      <c r="T97" s="176" t="s">
        <v>66</v>
      </c>
      <c r="U97" s="127" t="s">
        <v>49</v>
      </c>
      <c r="V97" s="54">
        <f t="shared" si="20"/>
        <v>42755</v>
      </c>
      <c r="W97" s="4">
        <f>S97+1</f>
        <v>42756</v>
      </c>
      <c r="X97" s="25"/>
      <c r="Y97" s="17"/>
      <c r="Z97" s="50">
        <f t="shared" si="21"/>
        <v>42756</v>
      </c>
    </row>
    <row r="98" spans="2:26" x14ac:dyDescent="0.2">
      <c r="B98" s="265"/>
      <c r="C98" s="33">
        <f t="shared" si="24"/>
        <v>42751</v>
      </c>
      <c r="D98" s="168" t="s">
        <v>62</v>
      </c>
      <c r="E98" s="7" t="s">
        <v>48</v>
      </c>
      <c r="F98" s="55">
        <f t="shared" si="23"/>
        <v>42751</v>
      </c>
      <c r="G98" s="33">
        <f>G97</f>
        <v>42752</v>
      </c>
      <c r="H98" s="26"/>
      <c r="I98" s="7"/>
      <c r="J98" s="55">
        <f t="shared" si="17"/>
        <v>42752</v>
      </c>
      <c r="K98" s="33">
        <f>K97</f>
        <v>42753</v>
      </c>
      <c r="L98" s="168" t="s">
        <v>76</v>
      </c>
      <c r="M98" s="7" t="s">
        <v>48</v>
      </c>
      <c r="N98" s="55">
        <f t="shared" si="18"/>
        <v>42753</v>
      </c>
      <c r="O98" s="33">
        <f>O97</f>
        <v>42754</v>
      </c>
      <c r="P98" s="26"/>
      <c r="Q98" s="7"/>
      <c r="R98" s="55">
        <f t="shared" si="19"/>
        <v>42754</v>
      </c>
      <c r="S98" s="33">
        <f>S97</f>
        <v>42755</v>
      </c>
      <c r="T98" s="168" t="s">
        <v>67</v>
      </c>
      <c r="U98" s="84" t="s">
        <v>48</v>
      </c>
      <c r="V98" s="55">
        <f t="shared" si="20"/>
        <v>42755</v>
      </c>
      <c r="W98" s="33">
        <f>W97</f>
        <v>42756</v>
      </c>
      <c r="X98" s="26"/>
      <c r="Y98" s="7"/>
      <c r="Z98" s="50">
        <f t="shared" si="21"/>
        <v>42756</v>
      </c>
    </row>
    <row r="99" spans="2:26" x14ac:dyDescent="0.2">
      <c r="B99" s="265"/>
      <c r="C99" s="33">
        <f t="shared" si="24"/>
        <v>42751</v>
      </c>
      <c r="D99" s="168" t="s">
        <v>62</v>
      </c>
      <c r="E99" s="7" t="s">
        <v>48</v>
      </c>
      <c r="F99" s="55">
        <f t="shared" si="23"/>
        <v>42751</v>
      </c>
      <c r="G99" s="33">
        <f>G98</f>
        <v>42752</v>
      </c>
      <c r="H99" s="26"/>
      <c r="I99" s="7"/>
      <c r="J99" s="55">
        <f t="shared" si="17"/>
        <v>42752</v>
      </c>
      <c r="K99" s="33">
        <f>K98</f>
        <v>42753</v>
      </c>
      <c r="L99" s="114" t="s">
        <v>193</v>
      </c>
      <c r="M99" s="7" t="s">
        <v>48</v>
      </c>
      <c r="N99" s="55">
        <f t="shared" si="18"/>
        <v>42753</v>
      </c>
      <c r="O99" s="33">
        <f>O98</f>
        <v>42754</v>
      </c>
      <c r="P99" s="26"/>
      <c r="Q99" s="7"/>
      <c r="R99" s="55">
        <f t="shared" si="19"/>
        <v>42754</v>
      </c>
      <c r="S99" s="33">
        <f>S98</f>
        <v>42755</v>
      </c>
      <c r="T99" s="168" t="s">
        <v>67</v>
      </c>
      <c r="U99" s="84" t="s">
        <v>48</v>
      </c>
      <c r="V99" s="55">
        <f t="shared" si="20"/>
        <v>42755</v>
      </c>
      <c r="W99" s="33">
        <f>W98</f>
        <v>42756</v>
      </c>
      <c r="X99" s="26"/>
      <c r="Y99" s="7"/>
      <c r="Z99" s="51">
        <f t="shared" si="21"/>
        <v>42756</v>
      </c>
    </row>
    <row r="100" spans="2:26" x14ac:dyDescent="0.2">
      <c r="B100" s="265"/>
      <c r="C100" s="33">
        <f t="shared" si="24"/>
        <v>42751</v>
      </c>
      <c r="D100" s="168" t="s">
        <v>71</v>
      </c>
      <c r="E100" s="7" t="s">
        <v>49</v>
      </c>
      <c r="F100" s="55">
        <f t="shared" si="23"/>
        <v>42751</v>
      </c>
      <c r="G100" s="33">
        <f>G99</f>
        <v>42752</v>
      </c>
      <c r="H100" s="26"/>
      <c r="I100" s="7"/>
      <c r="J100" s="55">
        <f t="shared" si="17"/>
        <v>42752</v>
      </c>
      <c r="K100" s="33">
        <f>K99</f>
        <v>42753</v>
      </c>
      <c r="L100" s="168" t="s">
        <v>63</v>
      </c>
      <c r="M100" s="181" t="s">
        <v>49</v>
      </c>
      <c r="N100" s="55">
        <f t="shared" si="18"/>
        <v>42753</v>
      </c>
      <c r="O100" s="33">
        <f>O99</f>
        <v>42754</v>
      </c>
      <c r="P100" s="26"/>
      <c r="Q100" s="7"/>
      <c r="R100" s="55">
        <f t="shared" si="19"/>
        <v>42754</v>
      </c>
      <c r="S100" s="33">
        <f>S99</f>
        <v>42755</v>
      </c>
      <c r="T100" s="168" t="s">
        <v>78</v>
      </c>
      <c r="U100" s="126" t="s">
        <v>49</v>
      </c>
      <c r="V100" s="55">
        <f t="shared" si="20"/>
        <v>42755</v>
      </c>
      <c r="W100" s="33">
        <f>W99</f>
        <v>42756</v>
      </c>
      <c r="X100" s="26"/>
      <c r="Y100" s="7"/>
      <c r="Z100" s="51">
        <f t="shared" si="21"/>
        <v>42756</v>
      </c>
    </row>
    <row r="101" spans="2:26" x14ac:dyDescent="0.2">
      <c r="B101" s="266"/>
      <c r="C101" s="34">
        <f t="shared" si="24"/>
        <v>42751</v>
      </c>
      <c r="D101" s="232" t="s">
        <v>79</v>
      </c>
      <c r="E101" s="9" t="s">
        <v>49</v>
      </c>
      <c r="F101" s="56">
        <f t="shared" si="23"/>
        <v>42751</v>
      </c>
      <c r="G101" s="34">
        <f>G100</f>
        <v>42752</v>
      </c>
      <c r="H101" s="27"/>
      <c r="I101" s="9"/>
      <c r="J101" s="56">
        <f t="shared" si="17"/>
        <v>42752</v>
      </c>
      <c r="K101" s="34">
        <f>K100</f>
        <v>42753</v>
      </c>
      <c r="L101" s="232" t="s">
        <v>187</v>
      </c>
      <c r="M101" s="9" t="s">
        <v>49</v>
      </c>
      <c r="N101" s="56">
        <f t="shared" si="18"/>
        <v>42753</v>
      </c>
      <c r="O101" s="34">
        <f>O100</f>
        <v>42754</v>
      </c>
      <c r="P101" s="235" t="s">
        <v>182</v>
      </c>
      <c r="Q101" s="237" t="s">
        <v>48</v>
      </c>
      <c r="R101" s="56">
        <f t="shared" si="19"/>
        <v>42754</v>
      </c>
      <c r="S101" s="34">
        <f>S100</f>
        <v>42755</v>
      </c>
      <c r="T101" s="172" t="s">
        <v>68</v>
      </c>
      <c r="U101" s="9" t="s">
        <v>49</v>
      </c>
      <c r="V101" s="56">
        <f t="shared" si="20"/>
        <v>42755</v>
      </c>
      <c r="W101" s="34">
        <f>W100</f>
        <v>42756</v>
      </c>
      <c r="X101" s="27"/>
      <c r="Y101" s="9"/>
      <c r="Z101" s="51">
        <f t="shared" si="21"/>
        <v>42756</v>
      </c>
    </row>
    <row r="102" spans="2:26" x14ac:dyDescent="0.2">
      <c r="B102" s="264">
        <f t="shared" ref="B102" si="26">B97+1</f>
        <v>17</v>
      </c>
      <c r="C102" s="79">
        <f>C97+7</f>
        <v>42758</v>
      </c>
      <c r="D102" s="128" t="s">
        <v>73</v>
      </c>
      <c r="E102" s="81" t="s">
        <v>49</v>
      </c>
      <c r="F102" s="82">
        <f t="shared" si="23"/>
        <v>42758</v>
      </c>
      <c r="G102" s="79">
        <f>C102+1</f>
        <v>42759</v>
      </c>
      <c r="H102" s="80"/>
      <c r="I102" s="81"/>
      <c r="J102" s="82">
        <f t="shared" si="17"/>
        <v>42759</v>
      </c>
      <c r="K102" s="79">
        <f>G102+1</f>
        <v>42760</v>
      </c>
      <c r="L102" s="25" t="s">
        <v>74</v>
      </c>
      <c r="M102" s="81" t="s">
        <v>49</v>
      </c>
      <c r="N102" s="82">
        <f t="shared" si="18"/>
        <v>42760</v>
      </c>
      <c r="O102" s="79">
        <f>K102+1</f>
        <v>42761</v>
      </c>
      <c r="P102" s="80"/>
      <c r="Q102" s="81"/>
      <c r="R102" s="82">
        <f t="shared" si="19"/>
        <v>42761</v>
      </c>
      <c r="S102" s="79">
        <f>O102+1</f>
        <v>42762</v>
      </c>
      <c r="T102" s="128" t="s">
        <v>189</v>
      </c>
      <c r="U102" s="81" t="s">
        <v>87</v>
      </c>
      <c r="V102" s="82">
        <f t="shared" si="20"/>
        <v>42762</v>
      </c>
      <c r="W102" s="79">
        <f>S102+1</f>
        <v>42763</v>
      </c>
      <c r="X102" s="80"/>
      <c r="Y102" s="81"/>
      <c r="Z102" s="50">
        <f t="shared" si="21"/>
        <v>42763</v>
      </c>
    </row>
    <row r="103" spans="2:26" x14ac:dyDescent="0.2">
      <c r="B103" s="265"/>
      <c r="C103" s="89">
        <f t="shared" si="24"/>
        <v>42758</v>
      </c>
      <c r="D103" s="26" t="s">
        <v>65</v>
      </c>
      <c r="E103" s="7" t="s">
        <v>48</v>
      </c>
      <c r="F103" s="85">
        <f t="shared" si="23"/>
        <v>42758</v>
      </c>
      <c r="G103" s="89">
        <f>G102</f>
        <v>42759</v>
      </c>
      <c r="H103" s="83"/>
      <c r="I103" s="84"/>
      <c r="J103" s="85">
        <f t="shared" si="17"/>
        <v>42759</v>
      </c>
      <c r="K103" s="89">
        <f>K102</f>
        <v>42760</v>
      </c>
      <c r="L103" s="26" t="s">
        <v>75</v>
      </c>
      <c r="M103" s="7" t="s">
        <v>48</v>
      </c>
      <c r="N103" s="85">
        <f t="shared" si="18"/>
        <v>42760</v>
      </c>
      <c r="O103" s="89">
        <f>O102</f>
        <v>42761</v>
      </c>
      <c r="P103" s="83"/>
      <c r="Q103" s="84"/>
      <c r="R103" s="85">
        <f t="shared" si="19"/>
        <v>42761</v>
      </c>
      <c r="S103" s="89">
        <f>S102</f>
        <v>42762</v>
      </c>
      <c r="T103" s="210" t="s">
        <v>191</v>
      </c>
      <c r="U103" s="7" t="s">
        <v>48</v>
      </c>
      <c r="V103" s="85">
        <f t="shared" si="20"/>
        <v>42762</v>
      </c>
      <c r="W103" s="89">
        <f>W102</f>
        <v>42763</v>
      </c>
      <c r="X103" s="83"/>
      <c r="Y103" s="84"/>
      <c r="Z103" s="50">
        <f t="shared" si="21"/>
        <v>42763</v>
      </c>
    </row>
    <row r="104" spans="2:26" x14ac:dyDescent="0.2">
      <c r="B104" s="265"/>
      <c r="C104" s="89">
        <f t="shared" si="24"/>
        <v>42758</v>
      </c>
      <c r="D104" s="26" t="s">
        <v>65</v>
      </c>
      <c r="E104" s="7" t="s">
        <v>48</v>
      </c>
      <c r="F104" s="85">
        <f t="shared" si="23"/>
        <v>42758</v>
      </c>
      <c r="G104" s="89">
        <f>G103</f>
        <v>42759</v>
      </c>
      <c r="H104" s="83"/>
      <c r="I104" s="84"/>
      <c r="J104" s="85">
        <f t="shared" si="17"/>
        <v>42759</v>
      </c>
      <c r="K104" s="89">
        <f>K103</f>
        <v>42760</v>
      </c>
      <c r="L104" s="26" t="s">
        <v>75</v>
      </c>
      <c r="M104" s="7" t="s">
        <v>48</v>
      </c>
      <c r="N104" s="85">
        <f t="shared" si="18"/>
        <v>42760</v>
      </c>
      <c r="O104" s="89">
        <f>O103</f>
        <v>42761</v>
      </c>
      <c r="P104" s="83"/>
      <c r="Q104" s="84"/>
      <c r="R104" s="85">
        <f t="shared" si="19"/>
        <v>42761</v>
      </c>
      <c r="S104" s="89">
        <f>S103</f>
        <v>42762</v>
      </c>
      <c r="T104" s="210" t="s">
        <v>191</v>
      </c>
      <c r="U104" s="7" t="s">
        <v>48</v>
      </c>
      <c r="V104" s="85">
        <f t="shared" si="20"/>
        <v>42762</v>
      </c>
      <c r="W104" s="89">
        <f>W103</f>
        <v>42763</v>
      </c>
      <c r="X104" s="83"/>
      <c r="Y104" s="84"/>
      <c r="Z104" s="51">
        <f t="shared" si="21"/>
        <v>42763</v>
      </c>
    </row>
    <row r="105" spans="2:26" x14ac:dyDescent="0.2">
      <c r="B105" s="265"/>
      <c r="C105" s="89">
        <f t="shared" si="24"/>
        <v>42758</v>
      </c>
      <c r="D105" s="26" t="s">
        <v>195</v>
      </c>
      <c r="E105" s="7" t="s">
        <v>49</v>
      </c>
      <c r="F105" s="85">
        <f t="shared" si="23"/>
        <v>42758</v>
      </c>
      <c r="G105" s="89">
        <f>G104</f>
        <v>42759</v>
      </c>
      <c r="H105" s="83"/>
      <c r="I105" s="84"/>
      <c r="J105" s="85">
        <f t="shared" si="17"/>
        <v>42759</v>
      </c>
      <c r="K105" s="89">
        <f>K104</f>
        <v>42760</v>
      </c>
      <c r="L105" s="26" t="s">
        <v>77</v>
      </c>
      <c r="M105" s="126" t="s">
        <v>49</v>
      </c>
      <c r="N105" s="85">
        <f t="shared" si="18"/>
        <v>42760</v>
      </c>
      <c r="O105" s="89">
        <f>O104</f>
        <v>42761</v>
      </c>
      <c r="P105" s="83"/>
      <c r="Q105" s="84"/>
      <c r="R105" s="85">
        <f t="shared" si="19"/>
        <v>42761</v>
      </c>
      <c r="S105" s="89">
        <f>S104</f>
        <v>42762</v>
      </c>
      <c r="T105" s="210" t="s">
        <v>85</v>
      </c>
      <c r="U105" s="7" t="s">
        <v>49</v>
      </c>
      <c r="V105" s="85">
        <f t="shared" si="20"/>
        <v>42762</v>
      </c>
      <c r="W105" s="89">
        <f>W104</f>
        <v>42763</v>
      </c>
      <c r="X105" s="83"/>
      <c r="Y105" s="84"/>
      <c r="Z105" s="51">
        <f t="shared" si="21"/>
        <v>42763</v>
      </c>
    </row>
    <row r="106" spans="2:26" x14ac:dyDescent="0.2">
      <c r="B106" s="266"/>
      <c r="C106" s="90">
        <f t="shared" si="24"/>
        <v>42758</v>
      </c>
      <c r="D106" s="235" t="s">
        <v>185</v>
      </c>
      <c r="E106" s="9" t="s">
        <v>49</v>
      </c>
      <c r="F106" s="88">
        <f t="shared" si="23"/>
        <v>42758</v>
      </c>
      <c r="G106" s="90">
        <f>G105</f>
        <v>42759</v>
      </c>
      <c r="H106" s="86"/>
      <c r="I106" s="87"/>
      <c r="J106" s="88">
        <f t="shared" si="17"/>
        <v>42759</v>
      </c>
      <c r="K106" s="90">
        <f>K105</f>
        <v>42760</v>
      </c>
      <c r="L106" s="27" t="s">
        <v>84</v>
      </c>
      <c r="M106" s="9" t="s">
        <v>49</v>
      </c>
      <c r="N106" s="88">
        <f t="shared" si="18"/>
        <v>42760</v>
      </c>
      <c r="O106" s="90">
        <f>O105</f>
        <v>42761</v>
      </c>
      <c r="P106" s="86"/>
      <c r="Q106" s="87"/>
      <c r="R106" s="88">
        <f t="shared" si="19"/>
        <v>42761</v>
      </c>
      <c r="S106" s="90">
        <f>S105</f>
        <v>42762</v>
      </c>
      <c r="T106" s="27" t="s">
        <v>64</v>
      </c>
      <c r="U106" s="9" t="s">
        <v>49</v>
      </c>
      <c r="V106" s="88">
        <f t="shared" si="20"/>
        <v>42762</v>
      </c>
      <c r="W106" s="90">
        <f>W105</f>
        <v>42763</v>
      </c>
      <c r="X106" s="86"/>
      <c r="Y106" s="87"/>
      <c r="Z106" s="51">
        <f t="shared" si="21"/>
        <v>42763</v>
      </c>
    </row>
    <row r="107" spans="2:26" x14ac:dyDescent="0.2">
      <c r="B107" s="264">
        <f t="shared" ref="B107" si="27">B102+1</f>
        <v>18</v>
      </c>
      <c r="C107" s="11">
        <f>C102+7</f>
        <v>42765</v>
      </c>
      <c r="D107" s="152"/>
      <c r="E107" s="16"/>
      <c r="F107" s="53">
        <f t="shared" si="23"/>
        <v>42765</v>
      </c>
      <c r="G107" s="11">
        <f>C107+1</f>
        <v>42766</v>
      </c>
      <c r="H107" s="20"/>
      <c r="I107" s="16"/>
      <c r="J107" s="53">
        <f t="shared" si="17"/>
        <v>42766</v>
      </c>
      <c r="K107" s="11">
        <f>G107+1</f>
        <v>42767</v>
      </c>
      <c r="L107" s="20"/>
      <c r="M107" s="16"/>
      <c r="N107" s="53">
        <f t="shared" si="18"/>
        <v>42767</v>
      </c>
      <c r="O107" s="11">
        <f>K107+1</f>
        <v>42768</v>
      </c>
      <c r="P107" s="20"/>
      <c r="Q107" s="16"/>
      <c r="R107" s="53">
        <f t="shared" si="19"/>
        <v>42768</v>
      </c>
      <c r="S107" s="11">
        <f>O107+1</f>
        <v>42769</v>
      </c>
      <c r="T107" s="20"/>
      <c r="U107" s="16"/>
      <c r="V107" s="53">
        <f t="shared" si="20"/>
        <v>42769</v>
      </c>
      <c r="W107" s="11">
        <f>S107+1</f>
        <v>42770</v>
      </c>
      <c r="X107" s="20"/>
      <c r="Y107" s="16"/>
      <c r="Z107" s="50">
        <f t="shared" si="21"/>
        <v>42770</v>
      </c>
    </row>
    <row r="108" spans="2:26" x14ac:dyDescent="0.2">
      <c r="B108" s="265"/>
      <c r="C108" s="179">
        <f t="shared" si="24"/>
        <v>42765</v>
      </c>
      <c r="D108" s="21"/>
      <c r="E108" s="12"/>
      <c r="F108" s="48">
        <f t="shared" si="23"/>
        <v>42765</v>
      </c>
      <c r="G108" s="179">
        <f t="shared" ref="G108:G111" si="28">G107</f>
        <v>42766</v>
      </c>
      <c r="H108" s="21"/>
      <c r="I108" s="12"/>
      <c r="J108" s="48">
        <f t="shared" si="17"/>
        <v>42766</v>
      </c>
      <c r="K108" s="179">
        <f t="shared" ref="K108:K111" si="29">K107</f>
        <v>42767</v>
      </c>
      <c r="L108" s="21"/>
      <c r="M108" s="12"/>
      <c r="N108" s="48">
        <f t="shared" si="18"/>
        <v>42767</v>
      </c>
      <c r="O108" s="179">
        <f t="shared" ref="O108:O111" si="30">O107</f>
        <v>42768</v>
      </c>
      <c r="P108" s="21"/>
      <c r="Q108" s="12"/>
      <c r="R108" s="48">
        <f t="shared" si="19"/>
        <v>42768</v>
      </c>
      <c r="S108" s="179">
        <f t="shared" ref="S108:S111" si="31">S107</f>
        <v>42769</v>
      </c>
      <c r="T108" s="21"/>
      <c r="U108" s="12"/>
      <c r="V108" s="48">
        <f t="shared" si="20"/>
        <v>42769</v>
      </c>
      <c r="W108" s="179">
        <f t="shared" ref="W108:W111" si="32">W107</f>
        <v>42770</v>
      </c>
      <c r="X108" s="21"/>
      <c r="Y108" s="12"/>
      <c r="Z108" s="50">
        <f t="shared" si="21"/>
        <v>42770</v>
      </c>
    </row>
    <row r="109" spans="2:26" x14ac:dyDescent="0.2">
      <c r="B109" s="265"/>
      <c r="C109" s="179">
        <f t="shared" si="24"/>
        <v>42765</v>
      </c>
      <c r="D109" s="21"/>
      <c r="E109" s="12"/>
      <c r="F109" s="48">
        <f t="shared" si="23"/>
        <v>42765</v>
      </c>
      <c r="G109" s="179">
        <f t="shared" si="28"/>
        <v>42766</v>
      </c>
      <c r="H109" s="21"/>
      <c r="I109" s="12"/>
      <c r="J109" s="48">
        <f t="shared" si="17"/>
        <v>42766</v>
      </c>
      <c r="K109" s="179">
        <f t="shared" si="29"/>
        <v>42767</v>
      </c>
      <c r="L109" s="21"/>
      <c r="M109" s="12"/>
      <c r="N109" s="48">
        <f t="shared" si="18"/>
        <v>42767</v>
      </c>
      <c r="O109" s="179">
        <f t="shared" si="30"/>
        <v>42768</v>
      </c>
      <c r="P109" s="21"/>
      <c r="Q109" s="12"/>
      <c r="R109" s="48">
        <f t="shared" si="19"/>
        <v>42768</v>
      </c>
      <c r="S109" s="179">
        <f t="shared" si="31"/>
        <v>42769</v>
      </c>
      <c r="T109" s="21"/>
      <c r="U109" s="12"/>
      <c r="V109" s="48">
        <f t="shared" si="20"/>
        <v>42769</v>
      </c>
      <c r="W109" s="179">
        <f t="shared" si="32"/>
        <v>42770</v>
      </c>
      <c r="X109" s="21"/>
      <c r="Y109" s="12"/>
      <c r="Z109" s="51">
        <f t="shared" si="21"/>
        <v>42770</v>
      </c>
    </row>
    <row r="110" spans="2:26" x14ac:dyDescent="0.2">
      <c r="B110" s="265"/>
      <c r="C110" s="179">
        <f t="shared" si="24"/>
        <v>42765</v>
      </c>
      <c r="D110" s="21"/>
      <c r="E110" s="12"/>
      <c r="F110" s="48">
        <f t="shared" si="23"/>
        <v>42765</v>
      </c>
      <c r="G110" s="179">
        <f t="shared" si="28"/>
        <v>42766</v>
      </c>
      <c r="H110" s="21"/>
      <c r="I110" s="12"/>
      <c r="J110" s="48">
        <f t="shared" si="17"/>
        <v>42766</v>
      </c>
      <c r="K110" s="179">
        <f t="shared" si="29"/>
        <v>42767</v>
      </c>
      <c r="L110" s="21"/>
      <c r="M110" s="156"/>
      <c r="N110" s="48">
        <f t="shared" si="18"/>
        <v>42767</v>
      </c>
      <c r="O110" s="179">
        <f t="shared" si="30"/>
        <v>42768</v>
      </c>
      <c r="P110" s="21"/>
      <c r="Q110" s="12"/>
      <c r="R110" s="48">
        <f t="shared" si="19"/>
        <v>42768</v>
      </c>
      <c r="S110" s="179">
        <f t="shared" si="31"/>
        <v>42769</v>
      </c>
      <c r="T110" s="21"/>
      <c r="U110" s="12"/>
      <c r="V110" s="48">
        <f t="shared" si="20"/>
        <v>42769</v>
      </c>
      <c r="W110" s="179">
        <f t="shared" si="32"/>
        <v>42770</v>
      </c>
      <c r="X110" s="21"/>
      <c r="Y110" s="12"/>
      <c r="Z110" s="51">
        <f t="shared" si="21"/>
        <v>42770</v>
      </c>
    </row>
    <row r="111" spans="2:26" x14ac:dyDescent="0.2">
      <c r="B111" s="266"/>
      <c r="C111" s="180">
        <f t="shared" si="24"/>
        <v>42765</v>
      </c>
      <c r="D111" s="70"/>
      <c r="E111" s="71"/>
      <c r="F111" s="74">
        <f t="shared" si="23"/>
        <v>42765</v>
      </c>
      <c r="G111" s="180">
        <f t="shared" si="28"/>
        <v>42766</v>
      </c>
      <c r="H111" s="70"/>
      <c r="I111" s="71"/>
      <c r="J111" s="74">
        <f t="shared" si="17"/>
        <v>42766</v>
      </c>
      <c r="K111" s="180">
        <f t="shared" si="29"/>
        <v>42767</v>
      </c>
      <c r="L111" s="70"/>
      <c r="M111" s="71"/>
      <c r="N111" s="74">
        <f t="shared" si="18"/>
        <v>42767</v>
      </c>
      <c r="O111" s="180">
        <f t="shared" si="30"/>
        <v>42768</v>
      </c>
      <c r="P111" s="70"/>
      <c r="Q111" s="71"/>
      <c r="R111" s="74">
        <f t="shared" si="19"/>
        <v>42768</v>
      </c>
      <c r="S111" s="180">
        <f t="shared" si="31"/>
        <v>42769</v>
      </c>
      <c r="T111" s="70"/>
      <c r="U111" s="71"/>
      <c r="V111" s="74">
        <f t="shared" si="20"/>
        <v>42769</v>
      </c>
      <c r="W111" s="180">
        <f t="shared" si="32"/>
        <v>42770</v>
      </c>
      <c r="X111" s="70"/>
      <c r="Y111" s="71"/>
      <c r="Z111" s="51">
        <f t="shared" si="21"/>
        <v>42770</v>
      </c>
    </row>
    <row r="112" spans="2:26" x14ac:dyDescent="0.2">
      <c r="B112" s="264">
        <f t="shared" ref="B112" si="33">B107+1</f>
        <v>19</v>
      </c>
      <c r="C112" s="11">
        <f>C107+7</f>
        <v>42772</v>
      </c>
      <c r="D112" s="20"/>
      <c r="E112" s="16"/>
      <c r="F112" s="53">
        <f t="shared" si="23"/>
        <v>42772</v>
      </c>
      <c r="G112" s="11">
        <f>C112+1</f>
        <v>42773</v>
      </c>
      <c r="H112" s="20"/>
      <c r="I112" s="16"/>
      <c r="J112" s="53">
        <f t="shared" si="17"/>
        <v>42773</v>
      </c>
      <c r="K112" s="11">
        <f>G112+1</f>
        <v>42774</v>
      </c>
      <c r="L112" s="20"/>
      <c r="M112" s="16"/>
      <c r="N112" s="53">
        <f t="shared" si="18"/>
        <v>42774</v>
      </c>
      <c r="O112" s="11">
        <f>K112+1</f>
        <v>42775</v>
      </c>
      <c r="P112" s="20"/>
      <c r="Q112" s="16"/>
      <c r="R112" s="53">
        <f t="shared" si="19"/>
        <v>42775</v>
      </c>
      <c r="S112" s="11">
        <f>O112+1</f>
        <v>42776</v>
      </c>
      <c r="T112" s="20"/>
      <c r="U112" s="16"/>
      <c r="V112" s="53">
        <f t="shared" si="20"/>
        <v>42776</v>
      </c>
      <c r="W112" s="11">
        <f>S112+1</f>
        <v>42777</v>
      </c>
      <c r="X112" s="20"/>
      <c r="Y112" s="16"/>
      <c r="Z112" s="50">
        <f t="shared" si="21"/>
        <v>42777</v>
      </c>
    </row>
    <row r="113" spans="2:26" x14ac:dyDescent="0.2">
      <c r="B113" s="265"/>
      <c r="C113" s="29">
        <f t="shared" si="24"/>
        <v>42772</v>
      </c>
      <c r="D113" s="21"/>
      <c r="E113" s="12"/>
      <c r="F113" s="48">
        <f t="shared" si="23"/>
        <v>42772</v>
      </c>
      <c r="G113" s="29">
        <f>G112</f>
        <v>42773</v>
      </c>
      <c r="H113" s="21"/>
      <c r="I113" s="12"/>
      <c r="J113" s="48">
        <f t="shared" si="17"/>
        <v>42773</v>
      </c>
      <c r="K113" s="29">
        <f>K112</f>
        <v>42774</v>
      </c>
      <c r="L113" s="21"/>
      <c r="M113" s="12"/>
      <c r="N113" s="48">
        <f t="shared" si="18"/>
        <v>42774</v>
      </c>
      <c r="O113" s="29">
        <f>O112</f>
        <v>42775</v>
      </c>
      <c r="P113" s="21"/>
      <c r="Q113" s="12"/>
      <c r="R113" s="48">
        <f t="shared" si="19"/>
        <v>42775</v>
      </c>
      <c r="S113" s="29">
        <f>S112</f>
        <v>42776</v>
      </c>
      <c r="T113" s="21"/>
      <c r="U113" s="12"/>
      <c r="V113" s="48">
        <f t="shared" si="20"/>
        <v>42776</v>
      </c>
      <c r="W113" s="29">
        <f>W112</f>
        <v>42777</v>
      </c>
      <c r="X113" s="21"/>
      <c r="Y113" s="12"/>
      <c r="Z113" s="50">
        <f t="shared" si="21"/>
        <v>42777</v>
      </c>
    </row>
    <row r="114" spans="2:26" x14ac:dyDescent="0.2">
      <c r="B114" s="265"/>
      <c r="C114" s="29">
        <f t="shared" si="24"/>
        <v>42772</v>
      </c>
      <c r="D114" s="21"/>
      <c r="E114" s="12"/>
      <c r="F114" s="48">
        <f t="shared" si="23"/>
        <v>42772</v>
      </c>
      <c r="G114" s="29">
        <f>G113</f>
        <v>42773</v>
      </c>
      <c r="H114" s="21"/>
      <c r="I114" s="12"/>
      <c r="J114" s="48">
        <f t="shared" si="17"/>
        <v>42773</v>
      </c>
      <c r="K114" s="29">
        <f>K113</f>
        <v>42774</v>
      </c>
      <c r="L114" s="21"/>
      <c r="M114" s="12"/>
      <c r="N114" s="48">
        <f t="shared" si="18"/>
        <v>42774</v>
      </c>
      <c r="O114" s="29">
        <f>O113</f>
        <v>42775</v>
      </c>
      <c r="P114" s="21"/>
      <c r="Q114" s="12"/>
      <c r="R114" s="48">
        <f t="shared" si="19"/>
        <v>42775</v>
      </c>
      <c r="S114" s="29">
        <f>S113</f>
        <v>42776</v>
      </c>
      <c r="T114" s="21"/>
      <c r="U114" s="12"/>
      <c r="V114" s="48">
        <f t="shared" si="20"/>
        <v>42776</v>
      </c>
      <c r="W114" s="29">
        <f>W113</f>
        <v>42777</v>
      </c>
      <c r="X114" s="21"/>
      <c r="Y114" s="12"/>
      <c r="Z114" s="51">
        <f t="shared" si="21"/>
        <v>42777</v>
      </c>
    </row>
    <row r="115" spans="2:26" x14ac:dyDescent="0.2">
      <c r="B115" s="265"/>
      <c r="C115" s="29">
        <f t="shared" si="24"/>
        <v>42772</v>
      </c>
      <c r="D115" s="21"/>
      <c r="E115" s="12"/>
      <c r="F115" s="48">
        <f t="shared" si="23"/>
        <v>42772</v>
      </c>
      <c r="G115" s="29">
        <f>G114</f>
        <v>42773</v>
      </c>
      <c r="H115" s="21"/>
      <c r="I115" s="12"/>
      <c r="J115" s="48">
        <f t="shared" si="17"/>
        <v>42773</v>
      </c>
      <c r="K115" s="29">
        <f>K114</f>
        <v>42774</v>
      </c>
      <c r="L115" s="21"/>
      <c r="M115" s="12"/>
      <c r="N115" s="48">
        <f t="shared" si="18"/>
        <v>42774</v>
      </c>
      <c r="O115" s="29">
        <f>O114</f>
        <v>42775</v>
      </c>
      <c r="P115" s="21"/>
      <c r="Q115" s="12"/>
      <c r="R115" s="48">
        <f t="shared" si="19"/>
        <v>42775</v>
      </c>
      <c r="S115" s="29">
        <f>S114</f>
        <v>42776</v>
      </c>
      <c r="T115" s="21"/>
      <c r="U115" s="12"/>
      <c r="V115" s="48">
        <f t="shared" si="20"/>
        <v>42776</v>
      </c>
      <c r="W115" s="29">
        <f>W114</f>
        <v>42777</v>
      </c>
      <c r="X115" s="21"/>
      <c r="Y115" s="12"/>
      <c r="Z115" s="51">
        <f t="shared" si="21"/>
        <v>42777</v>
      </c>
    </row>
    <row r="116" spans="2:26" x14ac:dyDescent="0.2">
      <c r="B116" s="266"/>
      <c r="C116" s="72">
        <f t="shared" si="24"/>
        <v>42772</v>
      </c>
      <c r="D116" s="70"/>
      <c r="E116" s="71"/>
      <c r="F116" s="74">
        <f t="shared" si="23"/>
        <v>42772</v>
      </c>
      <c r="G116" s="72">
        <f>G115</f>
        <v>42773</v>
      </c>
      <c r="H116" s="70"/>
      <c r="I116" s="71"/>
      <c r="J116" s="74">
        <f t="shared" si="17"/>
        <v>42773</v>
      </c>
      <c r="K116" s="72">
        <f>K115</f>
        <v>42774</v>
      </c>
      <c r="L116" s="70"/>
      <c r="M116" s="71"/>
      <c r="N116" s="74">
        <f t="shared" si="18"/>
        <v>42774</v>
      </c>
      <c r="O116" s="72">
        <f>O115</f>
        <v>42775</v>
      </c>
      <c r="P116" s="70"/>
      <c r="Q116" s="71"/>
      <c r="R116" s="74">
        <f t="shared" si="19"/>
        <v>42775</v>
      </c>
      <c r="S116" s="72">
        <f>S115</f>
        <v>42776</v>
      </c>
      <c r="T116" s="70"/>
      <c r="U116" s="71"/>
      <c r="V116" s="74">
        <f t="shared" si="20"/>
        <v>42776</v>
      </c>
      <c r="W116" s="72">
        <f>W115</f>
        <v>42777</v>
      </c>
      <c r="X116" s="70"/>
      <c r="Y116" s="71"/>
      <c r="Z116" s="51">
        <f t="shared" si="21"/>
        <v>42777</v>
      </c>
    </row>
    <row r="117" spans="2:26" x14ac:dyDescent="0.2">
      <c r="B117" s="264">
        <f t="shared" ref="B117" si="34">B112+1</f>
        <v>20</v>
      </c>
      <c r="C117" s="11">
        <f>C112+7</f>
        <v>42779</v>
      </c>
      <c r="D117" s="20"/>
      <c r="E117" s="16"/>
      <c r="F117" s="53">
        <f t="shared" ref="F117:F136" si="35">C117</f>
        <v>42779</v>
      </c>
      <c r="G117" s="11">
        <f>C117+1</f>
        <v>42780</v>
      </c>
      <c r="H117" s="20"/>
      <c r="I117" s="16"/>
      <c r="J117" s="53">
        <f t="shared" ref="J117:J136" si="36">G117</f>
        <v>42780</v>
      </c>
      <c r="K117" s="11">
        <f>G117+1</f>
        <v>42781</v>
      </c>
      <c r="L117" s="20"/>
      <c r="M117" s="16"/>
      <c r="N117" s="53">
        <f t="shared" ref="N117:N136" si="37">K117</f>
        <v>42781</v>
      </c>
      <c r="O117" s="11">
        <f>K117+1</f>
        <v>42782</v>
      </c>
      <c r="P117" s="20"/>
      <c r="Q117" s="16"/>
      <c r="R117" s="53">
        <f t="shared" ref="R117:R136" si="38">O117</f>
        <v>42782</v>
      </c>
      <c r="S117" s="11">
        <f>O117+1</f>
        <v>42783</v>
      </c>
      <c r="T117" s="20"/>
      <c r="U117" s="16"/>
      <c r="V117" s="53">
        <f t="shared" ref="V117:V136" si="39">S117</f>
        <v>42783</v>
      </c>
      <c r="W117" s="11">
        <f>S117+1</f>
        <v>42784</v>
      </c>
      <c r="X117" s="20"/>
      <c r="Y117" s="16"/>
      <c r="Z117" s="50">
        <f t="shared" ref="Z117:Z136" si="40">W117</f>
        <v>42784</v>
      </c>
    </row>
    <row r="118" spans="2:26" x14ac:dyDescent="0.2">
      <c r="B118" s="265"/>
      <c r="C118" s="29">
        <f t="shared" si="24"/>
        <v>42779</v>
      </c>
      <c r="D118" s="21"/>
      <c r="E118" s="12"/>
      <c r="F118" s="48">
        <f t="shared" si="35"/>
        <v>42779</v>
      </c>
      <c r="G118" s="29">
        <f>G117</f>
        <v>42780</v>
      </c>
      <c r="H118" s="21"/>
      <c r="I118" s="12"/>
      <c r="J118" s="48">
        <f t="shared" si="36"/>
        <v>42780</v>
      </c>
      <c r="K118" s="29">
        <f>K117</f>
        <v>42781</v>
      </c>
      <c r="L118" s="21"/>
      <c r="M118" s="12"/>
      <c r="N118" s="48">
        <f t="shared" si="37"/>
        <v>42781</v>
      </c>
      <c r="O118" s="29">
        <f>O117</f>
        <v>42782</v>
      </c>
      <c r="P118" s="21"/>
      <c r="Q118" s="12"/>
      <c r="R118" s="48">
        <f t="shared" si="38"/>
        <v>42782</v>
      </c>
      <c r="S118" s="29">
        <f>S117</f>
        <v>42783</v>
      </c>
      <c r="T118" s="21"/>
      <c r="U118" s="12"/>
      <c r="V118" s="48">
        <f t="shared" si="39"/>
        <v>42783</v>
      </c>
      <c r="W118" s="29">
        <f>W117</f>
        <v>42784</v>
      </c>
      <c r="X118" s="21"/>
      <c r="Y118" s="12"/>
      <c r="Z118" s="50">
        <f t="shared" si="40"/>
        <v>42784</v>
      </c>
    </row>
    <row r="119" spans="2:26" x14ac:dyDescent="0.2">
      <c r="B119" s="265"/>
      <c r="C119" s="29">
        <f t="shared" si="24"/>
        <v>42779</v>
      </c>
      <c r="D119" s="21"/>
      <c r="E119" s="12"/>
      <c r="F119" s="48">
        <f t="shared" si="35"/>
        <v>42779</v>
      </c>
      <c r="G119" s="29">
        <f>G118</f>
        <v>42780</v>
      </c>
      <c r="H119" s="21"/>
      <c r="I119" s="12"/>
      <c r="J119" s="48">
        <f t="shared" si="36"/>
        <v>42780</v>
      </c>
      <c r="K119" s="29">
        <f>K118</f>
        <v>42781</v>
      </c>
      <c r="L119" s="21"/>
      <c r="M119" s="12"/>
      <c r="N119" s="48">
        <f t="shared" si="37"/>
        <v>42781</v>
      </c>
      <c r="O119" s="29">
        <f>O118</f>
        <v>42782</v>
      </c>
      <c r="P119" s="21"/>
      <c r="Q119" s="12"/>
      <c r="R119" s="48">
        <f t="shared" si="38"/>
        <v>42782</v>
      </c>
      <c r="S119" s="29">
        <f>S118</f>
        <v>42783</v>
      </c>
      <c r="T119" s="21"/>
      <c r="U119" s="12"/>
      <c r="V119" s="48">
        <f t="shared" si="39"/>
        <v>42783</v>
      </c>
      <c r="W119" s="29">
        <f>W118</f>
        <v>42784</v>
      </c>
      <c r="X119" s="21"/>
      <c r="Y119" s="12"/>
      <c r="Z119" s="51">
        <f t="shared" si="40"/>
        <v>42784</v>
      </c>
    </row>
    <row r="120" spans="2:26" x14ac:dyDescent="0.2">
      <c r="B120" s="265"/>
      <c r="C120" s="29">
        <f t="shared" si="24"/>
        <v>42779</v>
      </c>
      <c r="D120" s="21"/>
      <c r="E120" s="12"/>
      <c r="F120" s="48">
        <f t="shared" si="35"/>
        <v>42779</v>
      </c>
      <c r="G120" s="29">
        <f>G119</f>
        <v>42780</v>
      </c>
      <c r="H120" s="21"/>
      <c r="I120" s="12"/>
      <c r="J120" s="48">
        <f t="shared" si="36"/>
        <v>42780</v>
      </c>
      <c r="K120" s="29">
        <f>K119</f>
        <v>42781</v>
      </c>
      <c r="L120" s="21"/>
      <c r="M120" s="12"/>
      <c r="N120" s="48">
        <f t="shared" si="37"/>
        <v>42781</v>
      </c>
      <c r="O120" s="29">
        <f>O119</f>
        <v>42782</v>
      </c>
      <c r="P120" s="21"/>
      <c r="Q120" s="12"/>
      <c r="R120" s="48">
        <f t="shared" si="38"/>
        <v>42782</v>
      </c>
      <c r="S120" s="29">
        <f>S119</f>
        <v>42783</v>
      </c>
      <c r="T120" s="21"/>
      <c r="U120" s="12"/>
      <c r="V120" s="48">
        <f t="shared" si="39"/>
        <v>42783</v>
      </c>
      <c r="W120" s="29">
        <f>W119</f>
        <v>42784</v>
      </c>
      <c r="X120" s="21"/>
      <c r="Y120" s="12"/>
      <c r="Z120" s="51">
        <f t="shared" si="40"/>
        <v>42784</v>
      </c>
    </row>
    <row r="121" spans="2:26" x14ac:dyDescent="0.2">
      <c r="B121" s="266"/>
      <c r="C121" s="72">
        <f t="shared" si="24"/>
        <v>42779</v>
      </c>
      <c r="D121" s="70"/>
      <c r="E121" s="71"/>
      <c r="F121" s="74">
        <f t="shared" si="35"/>
        <v>42779</v>
      </c>
      <c r="G121" s="72">
        <f>G120</f>
        <v>42780</v>
      </c>
      <c r="H121" s="70"/>
      <c r="I121" s="71"/>
      <c r="J121" s="74">
        <f t="shared" si="36"/>
        <v>42780</v>
      </c>
      <c r="K121" s="72">
        <f>K120</f>
        <v>42781</v>
      </c>
      <c r="L121" s="70"/>
      <c r="M121" s="71"/>
      <c r="N121" s="74">
        <f t="shared" si="37"/>
        <v>42781</v>
      </c>
      <c r="O121" s="72">
        <f>O120</f>
        <v>42782</v>
      </c>
      <c r="P121" s="70"/>
      <c r="Q121" s="71"/>
      <c r="R121" s="74">
        <f t="shared" si="38"/>
        <v>42782</v>
      </c>
      <c r="S121" s="72">
        <f>S120</f>
        <v>42783</v>
      </c>
      <c r="T121" s="70"/>
      <c r="U121" s="71"/>
      <c r="V121" s="74">
        <f t="shared" si="39"/>
        <v>42783</v>
      </c>
      <c r="W121" s="72">
        <f>W120</f>
        <v>42784</v>
      </c>
      <c r="X121" s="70"/>
      <c r="Y121" s="71"/>
      <c r="Z121" s="51">
        <f t="shared" si="40"/>
        <v>42784</v>
      </c>
    </row>
    <row r="122" spans="2:26" x14ac:dyDescent="0.2">
      <c r="B122" s="268">
        <f t="shared" ref="B122" si="41">B117+1</f>
        <v>21</v>
      </c>
      <c r="C122" s="11">
        <f>C117+7</f>
        <v>42786</v>
      </c>
      <c r="D122" s="176" t="s">
        <v>69</v>
      </c>
      <c r="E122" s="154" t="s">
        <v>178</v>
      </c>
      <c r="F122" s="53">
        <f t="shared" si="35"/>
        <v>42786</v>
      </c>
      <c r="G122" s="11">
        <f>C122+1</f>
        <v>42787</v>
      </c>
      <c r="H122" s="152"/>
      <c r="I122" s="16"/>
      <c r="J122" s="53">
        <f t="shared" si="36"/>
        <v>42787</v>
      </c>
      <c r="K122" s="11">
        <f>G122+1</f>
        <v>42788</v>
      </c>
      <c r="L122" s="176" t="s">
        <v>72</v>
      </c>
      <c r="M122" s="154" t="s">
        <v>178</v>
      </c>
      <c r="N122" s="53">
        <f t="shared" si="37"/>
        <v>42788</v>
      </c>
      <c r="O122" s="11">
        <f>K122+1</f>
        <v>42789</v>
      </c>
      <c r="P122" s="20"/>
      <c r="Q122" s="16"/>
      <c r="R122" s="53">
        <f t="shared" si="38"/>
        <v>42789</v>
      </c>
      <c r="S122" s="11">
        <f>O122+1</f>
        <v>42790</v>
      </c>
      <c r="T122" s="176" t="s">
        <v>66</v>
      </c>
      <c r="U122" s="154" t="s">
        <v>178</v>
      </c>
      <c r="V122" s="53">
        <f t="shared" si="39"/>
        <v>42790</v>
      </c>
      <c r="W122" s="11">
        <f>S122+1</f>
        <v>42791</v>
      </c>
      <c r="X122" s="20"/>
      <c r="Y122" s="16"/>
      <c r="Z122" s="50">
        <f t="shared" si="40"/>
        <v>42791</v>
      </c>
    </row>
    <row r="123" spans="2:26" x14ac:dyDescent="0.2">
      <c r="B123" s="269"/>
      <c r="C123" s="29">
        <f t="shared" si="24"/>
        <v>42786</v>
      </c>
      <c r="D123" s="168" t="s">
        <v>62</v>
      </c>
      <c r="E123" s="156" t="s">
        <v>136</v>
      </c>
      <c r="F123" s="48">
        <f t="shared" si="35"/>
        <v>42786</v>
      </c>
      <c r="G123" s="29">
        <f>G122</f>
        <v>42787</v>
      </c>
      <c r="H123" s="21"/>
      <c r="I123" s="12"/>
      <c r="J123" s="48">
        <f t="shared" si="36"/>
        <v>42787</v>
      </c>
      <c r="K123" s="29">
        <f>K122</f>
        <v>42788</v>
      </c>
      <c r="L123" s="168" t="s">
        <v>76</v>
      </c>
      <c r="M123" s="156" t="s">
        <v>178</v>
      </c>
      <c r="N123" s="48">
        <f t="shared" si="37"/>
        <v>42788</v>
      </c>
      <c r="O123" s="29">
        <f>O122</f>
        <v>42789</v>
      </c>
      <c r="P123" s="21"/>
      <c r="Q123" s="12"/>
      <c r="R123" s="48">
        <f t="shared" si="38"/>
        <v>42789</v>
      </c>
      <c r="S123" s="29">
        <f>S122</f>
        <v>42790</v>
      </c>
      <c r="T123" s="168" t="s">
        <v>67</v>
      </c>
      <c r="U123" s="156" t="s">
        <v>178</v>
      </c>
      <c r="V123" s="48">
        <f t="shared" si="39"/>
        <v>42790</v>
      </c>
      <c r="W123" s="29">
        <f>W122</f>
        <v>42791</v>
      </c>
      <c r="X123" s="21"/>
      <c r="Y123" s="12"/>
      <c r="Z123" s="50">
        <f t="shared" si="40"/>
        <v>42791</v>
      </c>
    </row>
    <row r="124" spans="2:26" x14ac:dyDescent="0.2">
      <c r="B124" s="269"/>
      <c r="C124" s="29">
        <f t="shared" si="24"/>
        <v>42786</v>
      </c>
      <c r="D124" s="168" t="s">
        <v>62</v>
      </c>
      <c r="E124" s="156" t="s">
        <v>136</v>
      </c>
      <c r="F124" s="48">
        <f t="shared" si="35"/>
        <v>42786</v>
      </c>
      <c r="G124" s="29">
        <f>G123</f>
        <v>42787</v>
      </c>
      <c r="H124" s="21"/>
      <c r="I124" s="12"/>
      <c r="J124" s="48">
        <f t="shared" si="36"/>
        <v>42787</v>
      </c>
      <c r="K124" s="29">
        <f>K123</f>
        <v>42788</v>
      </c>
      <c r="L124" s="168" t="s">
        <v>82</v>
      </c>
      <c r="M124" s="156" t="s">
        <v>178</v>
      </c>
      <c r="N124" s="48">
        <f t="shared" si="37"/>
        <v>42788</v>
      </c>
      <c r="O124" s="29">
        <f>O123</f>
        <v>42789</v>
      </c>
      <c r="P124" s="21"/>
      <c r="Q124" s="12"/>
      <c r="R124" s="48">
        <f t="shared" si="38"/>
        <v>42789</v>
      </c>
      <c r="S124" s="29">
        <f>S123</f>
        <v>42790</v>
      </c>
      <c r="T124" s="168" t="s">
        <v>67</v>
      </c>
      <c r="U124" s="156" t="s">
        <v>178</v>
      </c>
      <c r="V124" s="48">
        <f t="shared" si="39"/>
        <v>42790</v>
      </c>
      <c r="W124" s="29">
        <f>W123</f>
        <v>42791</v>
      </c>
      <c r="X124" s="21"/>
      <c r="Y124" s="12"/>
      <c r="Z124" s="51">
        <f t="shared" si="40"/>
        <v>42791</v>
      </c>
    </row>
    <row r="125" spans="2:26" x14ac:dyDescent="0.2">
      <c r="B125" s="269"/>
      <c r="C125" s="29">
        <f t="shared" si="24"/>
        <v>42786</v>
      </c>
      <c r="D125" s="168" t="s">
        <v>71</v>
      </c>
      <c r="E125" s="156" t="s">
        <v>178</v>
      </c>
      <c r="F125" s="48">
        <f t="shared" si="35"/>
        <v>42786</v>
      </c>
      <c r="G125" s="29">
        <f>G124</f>
        <v>42787</v>
      </c>
      <c r="H125" s="21"/>
      <c r="I125" s="12"/>
      <c r="J125" s="48">
        <f t="shared" si="36"/>
        <v>42787</v>
      </c>
      <c r="K125" s="29">
        <f>K124</f>
        <v>42788</v>
      </c>
      <c r="L125" s="168" t="s">
        <v>63</v>
      </c>
      <c r="M125" s="156" t="s">
        <v>178</v>
      </c>
      <c r="N125" s="48">
        <f t="shared" si="37"/>
        <v>42788</v>
      </c>
      <c r="O125" s="29">
        <f>O124</f>
        <v>42789</v>
      </c>
      <c r="P125" s="21"/>
      <c r="Q125" s="12"/>
      <c r="R125" s="48">
        <f t="shared" si="38"/>
        <v>42789</v>
      </c>
      <c r="S125" s="29">
        <f>S124</f>
        <v>42790</v>
      </c>
      <c r="T125" s="168" t="s">
        <v>78</v>
      </c>
      <c r="U125" s="156" t="s">
        <v>178</v>
      </c>
      <c r="V125" s="48">
        <f t="shared" si="39"/>
        <v>42790</v>
      </c>
      <c r="W125" s="29">
        <f>W124</f>
        <v>42791</v>
      </c>
      <c r="X125" s="21"/>
      <c r="Y125" s="12"/>
      <c r="Z125" s="51">
        <f t="shared" si="40"/>
        <v>42791</v>
      </c>
    </row>
    <row r="126" spans="2:26" x14ac:dyDescent="0.2">
      <c r="B126" s="270"/>
      <c r="C126" s="72">
        <f t="shared" si="24"/>
        <v>42786</v>
      </c>
      <c r="D126" s="172" t="s">
        <v>70</v>
      </c>
      <c r="E126" s="160" t="s">
        <v>136</v>
      </c>
      <c r="F126" s="74">
        <f t="shared" si="35"/>
        <v>42786</v>
      </c>
      <c r="G126" s="72">
        <f>G125</f>
        <v>42787</v>
      </c>
      <c r="H126" s="70"/>
      <c r="I126" s="71"/>
      <c r="J126" s="74">
        <f t="shared" si="36"/>
        <v>42787</v>
      </c>
      <c r="K126" s="72">
        <f>K125</f>
        <v>42788</v>
      </c>
      <c r="L126" s="172" t="s">
        <v>68</v>
      </c>
      <c r="M126" s="160" t="s">
        <v>178</v>
      </c>
      <c r="N126" s="74">
        <f t="shared" si="37"/>
        <v>42788</v>
      </c>
      <c r="O126" s="72">
        <f>O125</f>
        <v>42789</v>
      </c>
      <c r="P126" s="70"/>
      <c r="Q126" s="71"/>
      <c r="R126" s="74">
        <f t="shared" si="38"/>
        <v>42789</v>
      </c>
      <c r="S126" s="72">
        <f>S125</f>
        <v>42790</v>
      </c>
      <c r="T126" s="232" t="s">
        <v>79</v>
      </c>
      <c r="U126" s="160" t="s">
        <v>178</v>
      </c>
      <c r="V126" s="74">
        <f t="shared" si="39"/>
        <v>42790</v>
      </c>
      <c r="W126" s="72">
        <f>W125</f>
        <v>42791</v>
      </c>
      <c r="X126" s="70"/>
      <c r="Y126" s="71"/>
      <c r="Z126" s="51">
        <f t="shared" si="40"/>
        <v>42791</v>
      </c>
    </row>
    <row r="127" spans="2:26" x14ac:dyDescent="0.2">
      <c r="B127" s="268">
        <f t="shared" ref="B127" si="42">B122+1</f>
        <v>22</v>
      </c>
      <c r="C127" s="11">
        <f>C122+7</f>
        <v>42793</v>
      </c>
      <c r="D127" s="128" t="s">
        <v>73</v>
      </c>
      <c r="E127" s="154" t="s">
        <v>178</v>
      </c>
      <c r="F127" s="53">
        <f t="shared" si="35"/>
        <v>42793</v>
      </c>
      <c r="G127" s="11">
        <f>C127+1</f>
        <v>42794</v>
      </c>
      <c r="H127" s="20"/>
      <c r="I127" s="16"/>
      <c r="J127" s="53">
        <f t="shared" si="36"/>
        <v>42794</v>
      </c>
      <c r="K127" s="11">
        <f>G127+1</f>
        <v>42795</v>
      </c>
      <c r="L127" s="25" t="s">
        <v>74</v>
      </c>
      <c r="M127" s="154" t="s">
        <v>178</v>
      </c>
      <c r="N127" s="53">
        <f t="shared" si="37"/>
        <v>42795</v>
      </c>
      <c r="O127" s="11">
        <f>K127+1</f>
        <v>42796</v>
      </c>
      <c r="P127" s="20"/>
      <c r="Q127" s="16"/>
      <c r="R127" s="53">
        <f t="shared" si="38"/>
        <v>42796</v>
      </c>
      <c r="S127" s="11">
        <f>O127+1</f>
        <v>42797</v>
      </c>
      <c r="T127" s="25" t="s">
        <v>80</v>
      </c>
      <c r="U127" s="154" t="s">
        <v>178</v>
      </c>
      <c r="V127" s="53">
        <f t="shared" si="39"/>
        <v>42797</v>
      </c>
      <c r="W127" s="11">
        <f>S127+1</f>
        <v>42798</v>
      </c>
      <c r="X127" s="20"/>
      <c r="Y127" s="16"/>
      <c r="Z127" s="50">
        <f t="shared" si="40"/>
        <v>42798</v>
      </c>
    </row>
    <row r="128" spans="2:26" x14ac:dyDescent="0.2">
      <c r="B128" s="269"/>
      <c r="C128" s="29">
        <f t="shared" si="24"/>
        <v>42793</v>
      </c>
      <c r="D128" s="26" t="s">
        <v>65</v>
      </c>
      <c r="E128" s="156" t="s">
        <v>178</v>
      </c>
      <c r="F128" s="48">
        <f t="shared" si="35"/>
        <v>42793</v>
      </c>
      <c r="G128" s="29">
        <f>G127</f>
        <v>42794</v>
      </c>
      <c r="H128" s="21"/>
      <c r="I128" s="12"/>
      <c r="J128" s="48">
        <f t="shared" si="36"/>
        <v>42794</v>
      </c>
      <c r="K128" s="29">
        <f>K127</f>
        <v>42795</v>
      </c>
      <c r="L128" s="26" t="s">
        <v>75</v>
      </c>
      <c r="M128" s="156" t="s">
        <v>178</v>
      </c>
      <c r="N128" s="48">
        <f t="shared" si="37"/>
        <v>42795</v>
      </c>
      <c r="O128" s="29">
        <f>O127</f>
        <v>42796</v>
      </c>
      <c r="P128" s="21"/>
      <c r="Q128" s="12"/>
      <c r="R128" s="48">
        <f t="shared" si="38"/>
        <v>42796</v>
      </c>
      <c r="S128" s="29">
        <f>S127</f>
        <v>42797</v>
      </c>
      <c r="T128" s="26" t="s">
        <v>81</v>
      </c>
      <c r="U128" s="156" t="s">
        <v>178</v>
      </c>
      <c r="V128" s="48">
        <f t="shared" si="39"/>
        <v>42797</v>
      </c>
      <c r="W128" s="29">
        <f>W127</f>
        <v>42798</v>
      </c>
      <c r="X128" s="21"/>
      <c r="Y128" s="12"/>
      <c r="Z128" s="50">
        <f t="shared" si="40"/>
        <v>42798</v>
      </c>
    </row>
    <row r="129" spans="2:26" x14ac:dyDescent="0.2">
      <c r="B129" s="269"/>
      <c r="C129" s="29">
        <f t="shared" si="24"/>
        <v>42793</v>
      </c>
      <c r="D129" s="26" t="s">
        <v>65</v>
      </c>
      <c r="E129" s="156" t="s">
        <v>178</v>
      </c>
      <c r="F129" s="48">
        <f t="shared" si="35"/>
        <v>42793</v>
      </c>
      <c r="G129" s="29">
        <f>G128</f>
        <v>42794</v>
      </c>
      <c r="H129" s="21"/>
      <c r="I129" s="12"/>
      <c r="J129" s="48">
        <f t="shared" si="36"/>
        <v>42794</v>
      </c>
      <c r="K129" s="29">
        <f>K128</f>
        <v>42795</v>
      </c>
      <c r="L129" s="26" t="s">
        <v>75</v>
      </c>
      <c r="M129" s="156" t="s">
        <v>178</v>
      </c>
      <c r="N129" s="48">
        <f t="shared" si="37"/>
        <v>42795</v>
      </c>
      <c r="O129" s="29">
        <f>O128</f>
        <v>42796</v>
      </c>
      <c r="P129" s="21"/>
      <c r="Q129" s="12"/>
      <c r="R129" s="48">
        <f t="shared" si="38"/>
        <v>42796</v>
      </c>
      <c r="S129" s="29">
        <f>S128</f>
        <v>42797</v>
      </c>
      <c r="T129" s="26" t="s">
        <v>81</v>
      </c>
      <c r="U129" s="156" t="s">
        <v>178</v>
      </c>
      <c r="V129" s="48">
        <f t="shared" si="39"/>
        <v>42797</v>
      </c>
      <c r="W129" s="29">
        <f>W128</f>
        <v>42798</v>
      </c>
      <c r="X129" s="21"/>
      <c r="Y129" s="12"/>
      <c r="Z129" s="51">
        <f t="shared" si="40"/>
        <v>42798</v>
      </c>
    </row>
    <row r="130" spans="2:26" x14ac:dyDescent="0.2">
      <c r="B130" s="269"/>
      <c r="C130" s="29">
        <f t="shared" si="24"/>
        <v>42793</v>
      </c>
      <c r="D130" s="26" t="s">
        <v>83</v>
      </c>
      <c r="E130" s="156" t="s">
        <v>178</v>
      </c>
      <c r="F130" s="48">
        <f t="shared" si="35"/>
        <v>42793</v>
      </c>
      <c r="G130" s="29">
        <f>G129</f>
        <v>42794</v>
      </c>
      <c r="H130" s="21"/>
      <c r="I130" s="12"/>
      <c r="J130" s="48">
        <f t="shared" si="36"/>
        <v>42794</v>
      </c>
      <c r="K130" s="29">
        <f>K129</f>
        <v>42795</v>
      </c>
      <c r="L130" s="26" t="s">
        <v>77</v>
      </c>
      <c r="M130" s="156" t="s">
        <v>178</v>
      </c>
      <c r="N130" s="48">
        <f t="shared" si="37"/>
        <v>42795</v>
      </c>
      <c r="O130" s="29">
        <f>O129</f>
        <v>42796</v>
      </c>
      <c r="P130" s="21"/>
      <c r="Q130" s="12"/>
      <c r="R130" s="48">
        <f t="shared" si="38"/>
        <v>42796</v>
      </c>
      <c r="S130" s="29">
        <f>S129</f>
        <v>42797</v>
      </c>
      <c r="T130" s="210" t="s">
        <v>85</v>
      </c>
      <c r="U130" s="156" t="s">
        <v>136</v>
      </c>
      <c r="V130" s="48">
        <f t="shared" si="39"/>
        <v>42797</v>
      </c>
      <c r="W130" s="29">
        <f>W129</f>
        <v>42798</v>
      </c>
      <c r="X130" s="21"/>
      <c r="Y130" s="12"/>
      <c r="Z130" s="51">
        <f t="shared" si="40"/>
        <v>42798</v>
      </c>
    </row>
    <row r="131" spans="2:26" x14ac:dyDescent="0.2">
      <c r="B131" s="270"/>
      <c r="C131" s="72">
        <f t="shared" si="24"/>
        <v>42793</v>
      </c>
      <c r="D131" s="27" t="s">
        <v>86</v>
      </c>
      <c r="E131" s="160" t="s">
        <v>178</v>
      </c>
      <c r="F131" s="74">
        <f t="shared" si="35"/>
        <v>42793</v>
      </c>
      <c r="G131" s="72">
        <f>G130</f>
        <v>42794</v>
      </c>
      <c r="H131" s="70"/>
      <c r="I131" s="71"/>
      <c r="J131" s="74">
        <f t="shared" si="36"/>
        <v>42794</v>
      </c>
      <c r="K131" s="72">
        <f>K130</f>
        <v>42795</v>
      </c>
      <c r="L131" s="27" t="s">
        <v>84</v>
      </c>
      <c r="M131" s="160" t="s">
        <v>178</v>
      </c>
      <c r="N131" s="74">
        <f t="shared" si="37"/>
        <v>42795</v>
      </c>
      <c r="O131" s="72">
        <f>O130</f>
        <v>42796</v>
      </c>
      <c r="P131" s="70"/>
      <c r="Q131" s="71"/>
      <c r="R131" s="74">
        <f t="shared" si="38"/>
        <v>42796</v>
      </c>
      <c r="S131" s="72">
        <f>S130</f>
        <v>42797</v>
      </c>
      <c r="T131" s="27" t="s">
        <v>64</v>
      </c>
      <c r="U131" s="160" t="s">
        <v>136</v>
      </c>
      <c r="V131" s="74">
        <f t="shared" si="39"/>
        <v>42797</v>
      </c>
      <c r="W131" s="72">
        <f>W130</f>
        <v>42798</v>
      </c>
      <c r="X131" s="70"/>
      <c r="Y131" s="71"/>
      <c r="Z131" s="51">
        <f t="shared" si="40"/>
        <v>42798</v>
      </c>
    </row>
    <row r="132" spans="2:26" x14ac:dyDescent="0.2">
      <c r="B132" s="264">
        <f t="shared" ref="B132" si="43">B127+1</f>
        <v>23</v>
      </c>
      <c r="C132" s="11">
        <f>C127+7</f>
        <v>42800</v>
      </c>
      <c r="D132" s="20"/>
      <c r="E132" s="16"/>
      <c r="F132" s="53">
        <f t="shared" si="35"/>
        <v>42800</v>
      </c>
      <c r="G132" s="11">
        <f>C132+1</f>
        <v>42801</v>
      </c>
      <c r="H132" s="20"/>
      <c r="I132" s="16"/>
      <c r="J132" s="53">
        <f t="shared" si="36"/>
        <v>42801</v>
      </c>
      <c r="K132" s="11">
        <f>G132+1</f>
        <v>42802</v>
      </c>
      <c r="L132" s="20"/>
      <c r="M132" s="16"/>
      <c r="N132" s="53">
        <f t="shared" si="37"/>
        <v>42802</v>
      </c>
      <c r="O132" s="11">
        <f>K132+1</f>
        <v>42803</v>
      </c>
      <c r="P132" s="20"/>
      <c r="Q132" s="16"/>
      <c r="R132" s="53">
        <f t="shared" si="38"/>
        <v>42803</v>
      </c>
      <c r="S132" s="11">
        <f>O132+1</f>
        <v>42804</v>
      </c>
      <c r="T132" s="20"/>
      <c r="U132" s="16"/>
      <c r="V132" s="53">
        <f t="shared" si="39"/>
        <v>42804</v>
      </c>
      <c r="W132" s="11">
        <f>S132+1</f>
        <v>42805</v>
      </c>
      <c r="X132" s="20"/>
      <c r="Y132" s="16"/>
      <c r="Z132" s="50">
        <f t="shared" si="40"/>
        <v>42805</v>
      </c>
    </row>
    <row r="133" spans="2:26" x14ac:dyDescent="0.2">
      <c r="B133" s="265"/>
      <c r="C133" s="29">
        <f t="shared" si="24"/>
        <v>42800</v>
      </c>
      <c r="D133" s="21"/>
      <c r="E133" s="12"/>
      <c r="F133" s="48">
        <f t="shared" si="35"/>
        <v>42800</v>
      </c>
      <c r="G133" s="29">
        <f>G132</f>
        <v>42801</v>
      </c>
      <c r="H133" s="21"/>
      <c r="I133" s="12"/>
      <c r="J133" s="48">
        <f t="shared" si="36"/>
        <v>42801</v>
      </c>
      <c r="K133" s="29">
        <f>K132</f>
        <v>42802</v>
      </c>
      <c r="L133" s="21"/>
      <c r="M133" s="12"/>
      <c r="N133" s="48">
        <f t="shared" si="37"/>
        <v>42802</v>
      </c>
      <c r="O133" s="29">
        <f>O132</f>
        <v>42803</v>
      </c>
      <c r="P133" s="21"/>
      <c r="Q133" s="12"/>
      <c r="R133" s="48">
        <f t="shared" si="38"/>
        <v>42803</v>
      </c>
      <c r="S133" s="29">
        <f>S132</f>
        <v>42804</v>
      </c>
      <c r="T133" s="21"/>
      <c r="U133" s="12"/>
      <c r="V133" s="48">
        <f t="shared" si="39"/>
        <v>42804</v>
      </c>
      <c r="W133" s="29">
        <f>W132</f>
        <v>42805</v>
      </c>
      <c r="X133" s="21"/>
      <c r="Y133" s="12"/>
      <c r="Z133" s="50">
        <f t="shared" si="40"/>
        <v>42805</v>
      </c>
    </row>
    <row r="134" spans="2:26" x14ac:dyDescent="0.2">
      <c r="B134" s="265"/>
      <c r="C134" s="29">
        <f t="shared" si="24"/>
        <v>42800</v>
      </c>
      <c r="D134" s="21"/>
      <c r="E134" s="12"/>
      <c r="F134" s="48">
        <f t="shared" si="35"/>
        <v>42800</v>
      </c>
      <c r="G134" s="29">
        <f>G133</f>
        <v>42801</v>
      </c>
      <c r="H134" s="21"/>
      <c r="I134" s="12"/>
      <c r="J134" s="48">
        <f t="shared" si="36"/>
        <v>42801</v>
      </c>
      <c r="K134" s="29">
        <f>K133</f>
        <v>42802</v>
      </c>
      <c r="L134" s="21"/>
      <c r="M134" s="12"/>
      <c r="N134" s="48">
        <f t="shared" si="37"/>
        <v>42802</v>
      </c>
      <c r="O134" s="29">
        <f>O133</f>
        <v>42803</v>
      </c>
      <c r="P134" s="21"/>
      <c r="Q134" s="12"/>
      <c r="R134" s="48">
        <f t="shared" si="38"/>
        <v>42803</v>
      </c>
      <c r="S134" s="29">
        <f>S133</f>
        <v>42804</v>
      </c>
      <c r="T134" s="21"/>
      <c r="U134" s="12"/>
      <c r="V134" s="48">
        <f t="shared" si="39"/>
        <v>42804</v>
      </c>
      <c r="W134" s="29">
        <f>W133</f>
        <v>42805</v>
      </c>
      <c r="X134" s="21"/>
      <c r="Y134" s="12"/>
      <c r="Z134" s="51">
        <f t="shared" si="40"/>
        <v>42805</v>
      </c>
    </row>
    <row r="135" spans="2:26" x14ac:dyDescent="0.2">
      <c r="B135" s="265"/>
      <c r="C135" s="29">
        <f t="shared" si="24"/>
        <v>42800</v>
      </c>
      <c r="D135" s="21"/>
      <c r="E135" s="12"/>
      <c r="F135" s="48">
        <f t="shared" si="35"/>
        <v>42800</v>
      </c>
      <c r="G135" s="29">
        <f>G134</f>
        <v>42801</v>
      </c>
      <c r="H135" s="21"/>
      <c r="I135" s="12"/>
      <c r="J135" s="48">
        <f t="shared" si="36"/>
        <v>42801</v>
      </c>
      <c r="K135" s="29">
        <f>K134</f>
        <v>42802</v>
      </c>
      <c r="L135" s="21"/>
      <c r="M135" s="12"/>
      <c r="N135" s="48">
        <f t="shared" si="37"/>
        <v>42802</v>
      </c>
      <c r="O135" s="29">
        <f>O134</f>
        <v>42803</v>
      </c>
      <c r="P135" s="21"/>
      <c r="Q135" s="12"/>
      <c r="R135" s="48">
        <f t="shared" si="38"/>
        <v>42803</v>
      </c>
      <c r="S135" s="29">
        <f>S134</f>
        <v>42804</v>
      </c>
      <c r="T135" s="21"/>
      <c r="U135" s="12"/>
      <c r="V135" s="48">
        <f t="shared" si="39"/>
        <v>42804</v>
      </c>
      <c r="W135" s="29">
        <f>W134</f>
        <v>42805</v>
      </c>
      <c r="X135" s="21"/>
      <c r="Y135" s="12"/>
      <c r="Z135" s="51">
        <f t="shared" si="40"/>
        <v>42805</v>
      </c>
    </row>
    <row r="136" spans="2:26" x14ac:dyDescent="0.2">
      <c r="B136" s="266"/>
      <c r="C136" s="72">
        <f t="shared" si="24"/>
        <v>42800</v>
      </c>
      <c r="D136" s="70"/>
      <c r="E136" s="71"/>
      <c r="F136" s="74">
        <f t="shared" si="35"/>
        <v>42800</v>
      </c>
      <c r="G136" s="72">
        <f>G135</f>
        <v>42801</v>
      </c>
      <c r="H136" s="70"/>
      <c r="I136" s="71"/>
      <c r="J136" s="74">
        <f t="shared" si="36"/>
        <v>42801</v>
      </c>
      <c r="K136" s="72">
        <f>K135</f>
        <v>42802</v>
      </c>
      <c r="L136" s="70"/>
      <c r="M136" s="71"/>
      <c r="N136" s="74">
        <f t="shared" si="37"/>
        <v>42802</v>
      </c>
      <c r="O136" s="72">
        <f>O135</f>
        <v>42803</v>
      </c>
      <c r="P136" s="70"/>
      <c r="Q136" s="71"/>
      <c r="R136" s="74">
        <f t="shared" si="38"/>
        <v>42803</v>
      </c>
      <c r="S136" s="72">
        <f>S135</f>
        <v>42804</v>
      </c>
      <c r="T136" s="70"/>
      <c r="U136" s="71"/>
      <c r="V136" s="74">
        <f t="shared" si="39"/>
        <v>42804</v>
      </c>
      <c r="W136" s="72">
        <f>W135</f>
        <v>42805</v>
      </c>
      <c r="X136" s="70"/>
      <c r="Y136" s="71"/>
      <c r="Z136" s="51">
        <f t="shared" si="40"/>
        <v>42805</v>
      </c>
    </row>
    <row r="138" spans="2:26" x14ac:dyDescent="0.2">
      <c r="D138" s="262" t="s">
        <v>7</v>
      </c>
      <c r="E138" s="263"/>
      <c r="F138" s="95"/>
      <c r="G138" s="150" t="b">
        <v>1</v>
      </c>
      <c r="H138" s="35"/>
      <c r="I138" s="13"/>
      <c r="J138" s="13"/>
    </row>
    <row r="139" spans="2:26" x14ac:dyDescent="0.2">
      <c r="D139" s="262" t="s">
        <v>8</v>
      </c>
      <c r="E139" s="263"/>
      <c r="F139" s="95"/>
      <c r="G139" s="150" t="b">
        <v>1</v>
      </c>
      <c r="H139" s="35"/>
      <c r="I139" s="13"/>
      <c r="J139" s="13"/>
      <c r="O139" s="60" t="s">
        <v>141</v>
      </c>
      <c r="P139" s="61"/>
      <c r="Q139" s="61"/>
      <c r="R139" s="46"/>
      <c r="S139" s="40" t="s">
        <v>12</v>
      </c>
      <c r="T139" s="41"/>
      <c r="U139" s="41"/>
      <c r="V139" s="41"/>
    </row>
    <row r="140" spans="2:26" x14ac:dyDescent="0.2">
      <c r="D140" s="262" t="s">
        <v>9</v>
      </c>
      <c r="E140" s="263"/>
      <c r="F140" s="95"/>
      <c r="G140" s="150" t="b">
        <v>1</v>
      </c>
      <c r="H140" s="35"/>
      <c r="I140" s="13"/>
      <c r="J140" s="13"/>
      <c r="O140" s="62"/>
      <c r="P140" s="61"/>
      <c r="Q140" s="61"/>
      <c r="R140" s="46"/>
      <c r="S140" s="42"/>
      <c r="T140" s="41"/>
      <c r="U140" s="41"/>
      <c r="V140" s="41"/>
    </row>
    <row r="141" spans="2:26" x14ac:dyDescent="0.2">
      <c r="D141" s="273" t="s">
        <v>11</v>
      </c>
      <c r="E141" s="273"/>
      <c r="F141" s="36"/>
      <c r="G141" s="150" t="b">
        <v>1</v>
      </c>
      <c r="H141" s="35"/>
      <c r="I141" s="13"/>
      <c r="J141" s="13"/>
      <c r="O141" s="62"/>
      <c r="P141" s="61"/>
      <c r="Q141" s="63"/>
      <c r="R141" s="45"/>
      <c r="S141" s="42"/>
      <c r="T141" s="41"/>
      <c r="U141" s="41"/>
      <c r="V141" s="41"/>
    </row>
    <row r="142" spans="2:26" x14ac:dyDescent="0.2">
      <c r="D142" s="273" t="s">
        <v>10</v>
      </c>
      <c r="E142" s="273"/>
      <c r="F142" s="36"/>
      <c r="G142" s="150" t="b">
        <v>1</v>
      </c>
      <c r="H142" s="35"/>
      <c r="I142" s="13"/>
      <c r="J142" s="13"/>
      <c r="O142" s="62"/>
      <c r="P142" s="63"/>
      <c r="Q142" s="63"/>
      <c r="R142" s="45"/>
      <c r="S142" s="42"/>
      <c r="T142" s="41"/>
      <c r="U142" s="41"/>
      <c r="V142" s="41"/>
    </row>
    <row r="143" spans="2:26" x14ac:dyDescent="0.2">
      <c r="O143" s="62"/>
      <c r="P143" s="63"/>
      <c r="Q143" s="63"/>
      <c r="R143" s="45"/>
      <c r="S143" s="42"/>
      <c r="T143" s="41"/>
      <c r="U143" s="41"/>
      <c r="V143" s="41"/>
    </row>
    <row r="144" spans="2:26" x14ac:dyDescent="0.2">
      <c r="O144" s="43"/>
      <c r="P144" s="45"/>
      <c r="Q144" s="45"/>
      <c r="R144" s="45"/>
      <c r="S144" s="43"/>
      <c r="T144" s="44"/>
      <c r="U144" s="44"/>
      <c r="V144" s="41"/>
    </row>
    <row r="145" spans="15:22" x14ac:dyDescent="0.2">
      <c r="O145" s="43"/>
      <c r="P145" s="45"/>
      <c r="Q145" s="45"/>
      <c r="R145" s="45"/>
      <c r="S145" s="43"/>
      <c r="T145" s="44"/>
      <c r="U145" s="44"/>
      <c r="V145" s="41"/>
    </row>
    <row r="146" spans="15:22" x14ac:dyDescent="0.2">
      <c r="O146" s="43"/>
      <c r="P146" s="45"/>
      <c r="Q146" s="45"/>
      <c r="R146" s="45"/>
      <c r="S146" s="43"/>
      <c r="T146" s="44"/>
      <c r="U146" s="44"/>
      <c r="V146" s="41"/>
    </row>
    <row r="147" spans="15:22" x14ac:dyDescent="0.2">
      <c r="O147" s="43"/>
      <c r="P147" s="45"/>
      <c r="Q147" s="45"/>
      <c r="R147" s="45"/>
      <c r="S147" s="43"/>
      <c r="T147" s="44"/>
      <c r="U147" s="44"/>
      <c r="V147" s="41"/>
    </row>
    <row r="148" spans="15:22" x14ac:dyDescent="0.2">
      <c r="O148" s="43"/>
      <c r="P148" s="45"/>
      <c r="Q148" s="45"/>
      <c r="R148" s="45"/>
      <c r="S148" s="43"/>
      <c r="T148" s="44"/>
      <c r="U148" s="44"/>
      <c r="V148" s="41"/>
    </row>
    <row r="149" spans="15:22" x14ac:dyDescent="0.2">
      <c r="O149" s="43"/>
      <c r="P149" s="45"/>
      <c r="Q149" s="45"/>
      <c r="R149" s="45"/>
      <c r="S149" s="43"/>
      <c r="T149" s="44"/>
      <c r="U149" s="44"/>
      <c r="V149" s="41"/>
    </row>
  </sheetData>
  <mergeCells count="39">
    <mergeCell ref="D141:E141"/>
    <mergeCell ref="D142:E142"/>
    <mergeCell ref="B1:Y1"/>
    <mergeCell ref="B3:Y3"/>
    <mergeCell ref="B7:B11"/>
    <mergeCell ref="B12:B16"/>
    <mergeCell ref="B17:B21"/>
    <mergeCell ref="D138:E138"/>
    <mergeCell ref="C5:E5"/>
    <mergeCell ref="B22:B26"/>
    <mergeCell ref="B27:B31"/>
    <mergeCell ref="B32:B36"/>
    <mergeCell ref="B37:B41"/>
    <mergeCell ref="B42:B46"/>
    <mergeCell ref="B67:B71"/>
    <mergeCell ref="B72:B76"/>
    <mergeCell ref="B47:B51"/>
    <mergeCell ref="B102:B106"/>
    <mergeCell ref="B107:B111"/>
    <mergeCell ref="B52:B56"/>
    <mergeCell ref="B57:B61"/>
    <mergeCell ref="B62:B66"/>
    <mergeCell ref="B77:B81"/>
    <mergeCell ref="W5:Y5"/>
    <mergeCell ref="S5:U5"/>
    <mergeCell ref="O5:Q5"/>
    <mergeCell ref="K5:M5"/>
    <mergeCell ref="G5:I5"/>
    <mergeCell ref="D139:E139"/>
    <mergeCell ref="D140:E140"/>
    <mergeCell ref="B112:B116"/>
    <mergeCell ref="B82:B86"/>
    <mergeCell ref="B87:B91"/>
    <mergeCell ref="B92:B96"/>
    <mergeCell ref="B97:B101"/>
    <mergeCell ref="B117:B121"/>
    <mergeCell ref="B122:B126"/>
    <mergeCell ref="B127:B131"/>
    <mergeCell ref="B132:B136"/>
  </mergeCells>
  <phoneticPr fontId="2" type="noConversion"/>
  <conditionalFormatting sqref="D12:F12 D22:F22 D27:F27 D32:F32 H17:J17 H22:J22 H27:J27 H32:J32 L17:N17 M22:N22 L27:N27 L32:N32 P17:R17 P22:R22 P27:R27 P32:R32 T17:V17 T22:V22 T27:V27 T32:V32 X17:Z17 X22:Z22 X27:Z27 X32:Z32 P7:R7 T7:V7 X7:Z7 H12:J12 L12:N12 P12:R12 T12:V12 X12:Z12 J7 L47:N47 P47:R47 T47:V47 X47:Z47 H47:J47 D47:F47 D42:F42 H37:J37 I42:J42 P37:R37 R42 T37:V37 T42:V42 X37:Z37 X42:Z42 L57:N57 L62:N62 L67:N67 L77:N77 L82:N82 L107:N107 L112:N112 P52:R52 P57:R57 Q62:R62 Q67:R67 P72:R72 P77:R77 P82:R82 P87:R87 P92:R92 P97:R97 P102:R102 P107:R107 P112:R112 T52:V52 T57:V57 T62:V62 T67:V67 T72:V72 T82:V82 T112:V112 X52:Z52 X57:Z57 Z62 Z67 X77:Z77 X82:Z82 Z87 X92:Z92 X97:Z97 X102:Z102 X107:Z107 X112:Z112 H52:J52 H57:J57 H62:J62 I67:J67 H72:J72 H77:J77 J82 J87 H92:J92 H97:J97 H102:J102 H107:J107 H112:J112 D52:F52 D57:F57 D62:F62 D72:F72 D77:F77 F82 D107:F107 D112:F112 L72:N72 T107:V107 T77:V77 D92:F92 L87:N87 L92:N92 T87:V87 T92:V92 E97:F97 E102:F102 M97:N97 M102:N102 U97:V97 U102:V102 L37:N37 L42:N42 D87:F87 X72:Z72 D67:F67">
    <cfRule type="expression" dxfId="368" priority="513" stopIfTrue="1">
      <formula>AND(NOT(ISBLANK(D7)),$G$138)</formula>
    </cfRule>
  </conditionalFormatting>
  <conditionalFormatting sqref="G138:J138">
    <cfRule type="cellIs" dxfId="367" priority="497" stopIfTrue="1" operator="equal">
      <formula>TRUE</formula>
    </cfRule>
  </conditionalFormatting>
  <conditionalFormatting sqref="D138">
    <cfRule type="expression" dxfId="366" priority="496" stopIfTrue="1">
      <formula>IF($G$138=TRUE,TRUE,FALSE)</formula>
    </cfRule>
  </conditionalFormatting>
  <conditionalFormatting sqref="G139">
    <cfRule type="cellIs" dxfId="365" priority="495" stopIfTrue="1" operator="equal">
      <formula>TRUE</formula>
    </cfRule>
  </conditionalFormatting>
  <conditionalFormatting sqref="D139">
    <cfRule type="expression" dxfId="364" priority="494" stopIfTrue="1">
      <formula>IF($G$139=TRUE,TRUE,FALSE)</formula>
    </cfRule>
  </conditionalFormatting>
  <conditionalFormatting sqref="D140">
    <cfRule type="expression" dxfId="363" priority="493" stopIfTrue="1">
      <formula>IF($G$140=TRUE,TRUE,FALSE)</formula>
    </cfRule>
  </conditionalFormatting>
  <conditionalFormatting sqref="G140:J140">
    <cfRule type="cellIs" dxfId="362" priority="492" stopIfTrue="1" operator="equal">
      <formula>TRUE</formula>
    </cfRule>
  </conditionalFormatting>
  <conditionalFormatting sqref="D141">
    <cfRule type="expression" dxfId="361" priority="491" stopIfTrue="1">
      <formula>IF($G$141=TRUE,TRUE,FALSE)</formula>
    </cfRule>
  </conditionalFormatting>
  <conditionalFormatting sqref="G141:J141">
    <cfRule type="cellIs" dxfId="360" priority="490" stopIfTrue="1" operator="equal">
      <formula>TRUE</formula>
    </cfRule>
  </conditionalFormatting>
  <conditionalFormatting sqref="D142">
    <cfRule type="expression" dxfId="359" priority="489" stopIfTrue="1">
      <formula>IF($G$142=TRUE,TRUE,FALSE)</formula>
    </cfRule>
  </conditionalFormatting>
  <conditionalFormatting sqref="G142:J142">
    <cfRule type="cellIs" dxfId="358" priority="488" stopIfTrue="1" operator="equal">
      <formula>TRUE</formula>
    </cfRule>
  </conditionalFormatting>
  <conditionalFormatting sqref="F7">
    <cfRule type="expression" dxfId="357" priority="479" stopIfTrue="1">
      <formula>AND(NOT(ISBLANK(F7)),$G$138)</formula>
    </cfRule>
  </conditionalFormatting>
  <conditionalFormatting sqref="F7">
    <cfRule type="expression" dxfId="356" priority="478" stopIfTrue="1">
      <formula>AND(NOT(ISBLANK(F7)),$G$138)</formula>
    </cfRule>
  </conditionalFormatting>
  <conditionalFormatting sqref="F8 D13:F13 D23:F23 D28:F28 D33:F33 H18:J18 H23:J23 H28:J28 H33:J33 L18:N18 M23:N23 L28:N28 L33:N33 P18:R18 P23:R23 P28:R28 P33:R33 T18:V18 T23:V23 T28:V28 T33:V33 X18:Z18 X23:Z23 X28:Z28 X33:Z33 P8:R8 T8:V8 X8:Z8 H13:J13 L13:N13 P13:R13 T13:V13 X13:Z13 J8 N48 P48:R48 V48 Z48 H48:J48 D48 F43 H38:J38 I43:J43 L38:N38 N43 P38:R38 R43 T38:V38 T43:V43 X38:Z38 X43:Z43 L58:N58 L63:N63 L68:N68 N73 L78 L83:N83 L88:N88 L108 L113:N113 P53:R53 P58:R58 Q63:R63 Q68:R68 P73:R73 R78 P83:R83 P88:R88 P93:R93 P98:R98 P103:R103 P108:R108 P113:R113 U53:V53 T58:V58 T63:V63 V68 V73 V78 T83:V83 T108 T113:V113 X53:Z53 X58:Z58 Z63 Z68 X73:Z73 Z78 X83:Z83 Z88 X93:Z93 X98:Z98 X103:Z103 X108:Z108 X113:Z113 H53:J53 H58:J58 I68:J68 H73:J73 H78:J78 J83 J88 H93:J93 H98:J98 H103:J103 H108:J108 H113:J113 D53:F53 D58:F58 D63:F63 F68 F73 D78:F78 F83 D108 D113:F113 N93 V93 N98 F98 F103 F108 N108 V108 N103 N78 D88:F88 D93:F93 T88:V88 T93 U98:V98 U103:V103 F48 H63:J63">
    <cfRule type="expression" dxfId="355" priority="477" stopIfTrue="1">
      <formula>AND(NOT(ISBLANK(D8)),$G$139)</formula>
    </cfRule>
  </conditionalFormatting>
  <conditionalFormatting sqref="F8">
    <cfRule type="expression" dxfId="354" priority="476" stopIfTrue="1">
      <formula>AND(NOT(ISBLANK(F8)),$G$139)</formula>
    </cfRule>
  </conditionalFormatting>
  <conditionalFormatting sqref="F9 D14:F14 D24:F24 D29:F29 D34:F34 H19:J19 H24:J24 H29:J29 H34:J34 L19:N19 M24:N24 L29:N29 L34:N34 P19:R19 P24:R24 P29:R29 P34:R34 T19:V19 T24:V24 T29:V29 T34:V34 X19:Z19 X24:Z24 X29:Z29 X34:Z34 P9:R9 T9:V9 X9:Z9 H14:J14 L14:N14 P14:R14 T14:V14 X14:Z14 J9 N49 P49:R49 V49 Z49 H49:J49 D49 F44 H39:J39 I44:J44 L39:N39 N44 P39:R39 R44 T39:V39 T44:V44 X39:Z39 X44:Z44 L59:N59 L64:N64 N74 L79 L84:N84 L109 L114:N114 P54:R54 P59:R59 Q64:R64 Q69:R69 P74:R74 R79 P84:R84 P89:R89 P94:R94 P99:R99 P104:R104 P109:R109 P114:R114 U54:V54 T59:V59 T64:V64 V69 V74 V79 T84:V84 T109 T114:V114 X54:Z54 X59:Z59 Z64 Z69 X74:Z74 Z79 X84:Z84 Z89 X94:Z94 X99:Z99 X104:Z104 X109:Z109 X114:Z114 H54:J54 H59:J59 H64:J64 I69:J69 I74:J74 H79:J79 J84 J89 H94:J94 H99:J99 H104:J104 H109:J109 H114:J114 D54:F54 D59:F59 D64:F64 F69 F74 D79:F79 F84 D109 D114:F114 L69:N69 N94 V94 N99 F99 F104 F109 N109 V109 N104 N79 D89:F89 D94:F94 T89:V89 T94 U99:V99 U104:V104 F49 L89:N89">
    <cfRule type="expression" dxfId="353" priority="475" stopIfTrue="1">
      <formula>AND(NOT(ISBLANK(D9)),$G$140)</formula>
    </cfRule>
  </conditionalFormatting>
  <conditionalFormatting sqref="F9">
    <cfRule type="expression" dxfId="352" priority="474" stopIfTrue="1">
      <formula>AND(NOT(ISBLANK(F9)),$G$140)</formula>
    </cfRule>
  </conditionalFormatting>
  <conditionalFormatting sqref="F10 D15:F15 D25:F25 D30:F30 D35:F35 H20:J20 H25:J25 H30:J30 H35:J35 L20:N20 M25:N25 L30:N30 L35:N35 P20:R20 P25:R25 P30:R30 P35:R35 T20:V20 T25:V25 T30:V30 T35:V35 X20:Z20 X25:Z25 X30:Z30 X35:Z35 P10:R10 T10:V10 X10:Z10 H15:J15 L15:N15 P15:R15 T15:V15 X15:Z15 J10 L50:N50 R50 T50:V50 X50:Z50 J50 F50 H40:J40 J45 N45 P40:R40 R45 X40:Z40 X45:Z45 L60:N60 L70:N70 N75 L85:N85 L110 L115:N115 R55 P60:R60 Q70:R70 P85:R85 P90:R90 P95:R95 P100:R100 P105:R105 P110:R110 P115:R115 T55:V55 T60:V60 T85:V85 T110 T115:V115 X55:Z55 X60:Z60 Z65 Z70 X75:Z75 X80:Z80 X85:Z85 Z90 X95:Z95 X100:Z100 X105:Z105 X110:Z110 X115:Z115 J55 H60:J60 H65:J65 I70:J70 J80 J85 J90 H95:J95 H100:J100 H105:J105 H110:J110 H115:J115 D55:F55 D60:F60 D65:F65 F70 F85 F90 F95 D110 D115:F115 T65:V65 V70 F80 T75:V75 P80:R80 F75 L80:N80 P75:R75 T80:V80 F100 F105 F110 N110 N105 N100 N95 V95 V100 V105 V110 H75:J75 L90:N90 L95 T90:V90 T95 L40:N40 T40:V40 T45:V45 N65 Q65:R65 D45:F45">
    <cfRule type="expression" dxfId="351" priority="473" stopIfTrue="1">
      <formula>AND(NOT(ISBLANK(D10)),$G$141)</formula>
    </cfRule>
  </conditionalFormatting>
  <conditionalFormatting sqref="F10">
    <cfRule type="expression" dxfId="350" priority="472" stopIfTrue="1">
      <formula>AND(NOT(ISBLANK(F10)),$G$141)</formula>
    </cfRule>
  </conditionalFormatting>
  <conditionalFormatting sqref="F11 D16:F16 D26:F26 D31:F31 D36:F36 H21:J21 H26:J26 H31:J31 H36:J36 L21:N21 L31:N31 L36:N36 P21:R21 P31:R31 P36:R36 T21:V21 T26:V26 T31:V31 T36:V36 X21:Z21 X26:Z26 X31:Z31 X36:Z36 P11:R11 T11:V11 X11:Z11 H16:J16 L16:N16 P16:R16 T16:V16 X16:Z16 J11 L51:N51 P51:R51 X51:Z51 H51:J51 D51:F51 H41:J41 I46:J46 L41:N41 P41:R41 R46 T41:V41 X41:Z41 X46:Z46 L61:N61 L71:N71 L76:N76 L81:N81 L86:N86 L111 L116:N116 P56:R56 P61:R61 Q66:R66 P76:R76 P81:R81 P86:R86 P91:R91 P96:R96 P101:R101 P106:R106 P111:R111 P116:R116 T56:V56 T61:V61 T66:V66 T76:V76 T81:V81 T86:V86 T111 T116:V116 X56:Z56 X61:Z61 Z66 Z71 X81:Z81 X86:Z86 Z91 X96:Z96 X101:Z101 X106:Z106 X111:Z111 X116:Z116 H56:J56 H61:J61 I71:J71 H76:J76 J86 J91 H96:J96 H101:J101 H106:J106 H111:J111 H116:J116 D56:F56 D61:F61 D66:F66 D71:F71 D76:F76 F86 D111 D116:F116 Q71:R71 T51:V51 T46:V46 D81:F81 F101 F106 F111 N111 N106 N101 N96 V96 V101 V106 V111 H81:J81 P26:R26 D46:F46 D91:F91 D96:F96 L91:N91 L96 T91:V91 T96 M26:N26 L66:N66 X76:Z76 L46:N46 T71:V71 H66:J66">
    <cfRule type="expression" dxfId="349" priority="471" stopIfTrue="1">
      <formula>AND(NOT(ISBLANK(D11)),$G$142)</formula>
    </cfRule>
  </conditionalFormatting>
  <conditionalFormatting sqref="F11">
    <cfRule type="expression" dxfId="348" priority="470" stopIfTrue="1">
      <formula>AND(NOT(ISBLANK(F11)),$G$142)</formula>
    </cfRule>
  </conditionalFormatting>
  <conditionalFormatting sqref="D17:F17">
    <cfRule type="expression" dxfId="347" priority="459" stopIfTrue="1">
      <formula>AND(NOT(ISBLANK(D17)),$G$138)</formula>
    </cfRule>
  </conditionalFormatting>
  <conditionalFormatting sqref="D18:F18">
    <cfRule type="expression" dxfId="346" priority="458" stopIfTrue="1">
      <formula>AND(NOT(ISBLANK(D18)),$G$139)</formula>
    </cfRule>
  </conditionalFormatting>
  <conditionalFormatting sqref="D19:F19">
    <cfRule type="expression" dxfId="345" priority="457" stopIfTrue="1">
      <formula>AND(NOT(ISBLANK(D19)),$G$140)</formula>
    </cfRule>
  </conditionalFormatting>
  <conditionalFormatting sqref="D20:F20">
    <cfRule type="expression" dxfId="344" priority="456" stopIfTrue="1">
      <formula>AND(NOT(ISBLANK(D20)),$G$141)</formula>
    </cfRule>
  </conditionalFormatting>
  <conditionalFormatting sqref="D21:F21">
    <cfRule type="expression" dxfId="343" priority="455" stopIfTrue="1">
      <formula>AND(NOT(ISBLANK(D21)),$G$142)</formula>
    </cfRule>
  </conditionalFormatting>
  <conditionalFormatting sqref="L7:N7">
    <cfRule type="expression" dxfId="342" priority="454" stopIfTrue="1">
      <formula>AND(NOT(ISBLANK(L7)),$G$138)</formula>
    </cfRule>
  </conditionalFormatting>
  <conditionalFormatting sqref="L8:N8">
    <cfRule type="expression" dxfId="341" priority="453" stopIfTrue="1">
      <formula>AND(NOT(ISBLANK(L8)),$G$139)</formula>
    </cfRule>
  </conditionalFormatting>
  <conditionalFormatting sqref="L9:N9">
    <cfRule type="expression" dxfId="340" priority="452" stopIfTrue="1">
      <formula>AND(NOT(ISBLANK(L9)),$G$140)</formula>
    </cfRule>
  </conditionalFormatting>
  <conditionalFormatting sqref="L10:N10">
    <cfRule type="expression" dxfId="339" priority="451" stopIfTrue="1">
      <formula>AND(NOT(ISBLANK(L10)),$G$141)</formula>
    </cfRule>
  </conditionalFormatting>
  <conditionalFormatting sqref="L11:N11">
    <cfRule type="expression" dxfId="338" priority="450" stopIfTrue="1">
      <formula>AND(NOT(ISBLANK(L11)),$G$142)</formula>
    </cfRule>
  </conditionalFormatting>
  <conditionalFormatting sqref="P42:Q42">
    <cfRule type="expression" dxfId="337" priority="404" stopIfTrue="1">
      <formula>AND(NOT(ISBLANK(P42)),$G$138)</formula>
    </cfRule>
  </conditionalFormatting>
  <conditionalFormatting sqref="X66:Y66">
    <cfRule type="expression" dxfId="336" priority="395" stopIfTrue="1">
      <formula>AND(NOT(ISBLANK(X66)),$G$142)</formula>
    </cfRule>
  </conditionalFormatting>
  <conditionalFormatting sqref="X67:Y67">
    <cfRule type="expression" dxfId="335" priority="394" stopIfTrue="1">
      <formula>AND(NOT(ISBLANK(X67)),$G$138)</formula>
    </cfRule>
  </conditionalFormatting>
  <conditionalFormatting sqref="X68:Y68">
    <cfRule type="expression" dxfId="334" priority="393" stopIfTrue="1">
      <formula>AND(NOT(ISBLANK(X68)),$G$139)</formula>
    </cfRule>
  </conditionalFormatting>
  <conditionalFormatting sqref="X69:Y69">
    <cfRule type="expression" dxfId="333" priority="392" stopIfTrue="1">
      <formula>AND(NOT(ISBLANK(X69)),$G$140)</formula>
    </cfRule>
  </conditionalFormatting>
  <conditionalFormatting sqref="X70:Y70">
    <cfRule type="expression" dxfId="332" priority="391" stopIfTrue="1">
      <formula>AND(NOT(ISBLANK(X70)),$G$141)</formula>
    </cfRule>
  </conditionalFormatting>
  <conditionalFormatting sqref="D82:E82">
    <cfRule type="expression" dxfId="331" priority="389" stopIfTrue="1">
      <formula>AND(NOT(ISBLANK(D82)),$G$138)</formula>
    </cfRule>
  </conditionalFormatting>
  <conditionalFormatting sqref="X91:Y91">
    <cfRule type="expression" dxfId="330" priority="365" stopIfTrue="1">
      <formula>AND(NOT(ISBLANK(X91)),$G$142)</formula>
    </cfRule>
  </conditionalFormatting>
  <conditionalFormatting sqref="D7:E7">
    <cfRule type="expression" dxfId="329" priority="424" stopIfTrue="1">
      <formula>AND(NOT(ISBLANK(D7)),$G$138)</formula>
    </cfRule>
  </conditionalFormatting>
  <conditionalFormatting sqref="D8:E8">
    <cfRule type="expression" dxfId="328" priority="423" stopIfTrue="1">
      <formula>AND(NOT(ISBLANK(D8)),$G$139)</formula>
    </cfRule>
  </conditionalFormatting>
  <conditionalFormatting sqref="D9:E9">
    <cfRule type="expression" dxfId="327" priority="422" stopIfTrue="1">
      <formula>AND(NOT(ISBLANK(D9)),$G$140)</formula>
    </cfRule>
  </conditionalFormatting>
  <conditionalFormatting sqref="D10:E10">
    <cfRule type="expression" dxfId="326" priority="421" stopIfTrue="1">
      <formula>AND(NOT(ISBLANK(D10)),$G$141)</formula>
    </cfRule>
  </conditionalFormatting>
  <conditionalFormatting sqref="D11:E11">
    <cfRule type="expression" dxfId="325" priority="420" stopIfTrue="1">
      <formula>AND(NOT(ISBLANK(D11)),$G$142)</formula>
    </cfRule>
  </conditionalFormatting>
  <conditionalFormatting sqref="H7:I7">
    <cfRule type="expression" dxfId="324" priority="419" stopIfTrue="1">
      <formula>AND(NOT(ISBLANK(H7)),$G$138)</formula>
    </cfRule>
  </conditionalFormatting>
  <conditionalFormatting sqref="H8:I8">
    <cfRule type="expression" dxfId="323" priority="418" stopIfTrue="1">
      <formula>AND(NOT(ISBLANK(H8)),$G$139)</formula>
    </cfRule>
  </conditionalFormatting>
  <conditionalFormatting sqref="H9:I9">
    <cfRule type="expression" dxfId="322" priority="417" stopIfTrue="1">
      <formula>AND(NOT(ISBLANK(H9)),$G$140)</formula>
    </cfRule>
  </conditionalFormatting>
  <conditionalFormatting sqref="H10:I10">
    <cfRule type="expression" dxfId="321" priority="416" stopIfTrue="1">
      <formula>AND(NOT(ISBLANK(H10)),$G$141)</formula>
    </cfRule>
  </conditionalFormatting>
  <conditionalFormatting sqref="H11:I11">
    <cfRule type="expression" dxfId="320" priority="415" stopIfTrue="1">
      <formula>AND(NOT(ISBLANK(H11)),$G$142)</formula>
    </cfRule>
  </conditionalFormatting>
  <conditionalFormatting sqref="D37:F37">
    <cfRule type="expression" dxfId="319" priority="414" stopIfTrue="1">
      <formula>AND(NOT(ISBLANK(D37)),$G$138)</formula>
    </cfRule>
  </conditionalFormatting>
  <conditionalFormatting sqref="D38:F38">
    <cfRule type="expression" dxfId="318" priority="413" stopIfTrue="1">
      <formula>AND(NOT(ISBLANK(D38)),$G$139)</formula>
    </cfRule>
  </conditionalFormatting>
  <conditionalFormatting sqref="D39:F39">
    <cfRule type="expression" dxfId="317" priority="412" stopIfTrue="1">
      <formula>AND(NOT(ISBLANK(D39)),$G$140)</formula>
    </cfRule>
  </conditionalFormatting>
  <conditionalFormatting sqref="E40:F40">
    <cfRule type="expression" dxfId="316" priority="411" stopIfTrue="1">
      <formula>AND(NOT(ISBLANK(E40)),$G$141)</formula>
    </cfRule>
  </conditionalFormatting>
  <conditionalFormatting sqref="D41:F41">
    <cfRule type="expression" dxfId="315" priority="410" stopIfTrue="1">
      <formula>AND(NOT(ISBLANK(D41)),$G$142)</formula>
    </cfRule>
  </conditionalFormatting>
  <conditionalFormatting sqref="L52:N52">
    <cfRule type="expression" dxfId="314" priority="409" stopIfTrue="1">
      <formula>AND(NOT(ISBLANK(L52)),$G$138)</formula>
    </cfRule>
  </conditionalFormatting>
  <conditionalFormatting sqref="N53">
    <cfRule type="expression" dxfId="313" priority="408" stopIfTrue="1">
      <formula>AND(NOT(ISBLANK(N53)),$G$139)</formula>
    </cfRule>
  </conditionalFormatting>
  <conditionalFormatting sqref="N54">
    <cfRule type="expression" dxfId="312" priority="407" stopIfTrue="1">
      <formula>AND(NOT(ISBLANK(N54)),$G$140)</formula>
    </cfRule>
  </conditionalFormatting>
  <conditionalFormatting sqref="L55:N55">
    <cfRule type="expression" dxfId="311" priority="406" stopIfTrue="1">
      <formula>AND(NOT(ISBLANK(L55)),$G$141)</formula>
    </cfRule>
  </conditionalFormatting>
  <conditionalFormatting sqref="L56:N56">
    <cfRule type="expression" dxfId="310" priority="405" stopIfTrue="1">
      <formula>AND(NOT(ISBLANK(L56)),$G$142)</formula>
    </cfRule>
  </conditionalFormatting>
  <conditionalFormatting sqref="P43:Q43">
    <cfRule type="expression" dxfId="309" priority="403" stopIfTrue="1">
      <formula>AND(NOT(ISBLANK(P43)),$G$139)</formula>
    </cfRule>
  </conditionalFormatting>
  <conditionalFormatting sqref="P44:Q44">
    <cfRule type="expression" dxfId="308" priority="402" stopIfTrue="1">
      <formula>AND(NOT(ISBLANK(P44)),$G$140)</formula>
    </cfRule>
  </conditionalFormatting>
  <conditionalFormatting sqref="P46:Q46">
    <cfRule type="expression" dxfId="307" priority="400" stopIfTrue="1">
      <formula>AND(NOT(ISBLANK(P46)),$G$142)</formula>
    </cfRule>
  </conditionalFormatting>
  <conditionalFormatting sqref="X62:Y62">
    <cfRule type="expression" dxfId="306" priority="399" stopIfTrue="1">
      <formula>AND(NOT(ISBLANK(X62)),$G$138)</formula>
    </cfRule>
  </conditionalFormatting>
  <conditionalFormatting sqref="X63:Y63">
    <cfRule type="expression" dxfId="305" priority="398" stopIfTrue="1">
      <formula>AND(NOT(ISBLANK(X63)),$G$139)</formula>
    </cfRule>
  </conditionalFormatting>
  <conditionalFormatting sqref="X64:Y64">
    <cfRule type="expression" dxfId="304" priority="397" stopIfTrue="1">
      <formula>AND(NOT(ISBLANK(X64)),$G$140)</formula>
    </cfRule>
  </conditionalFormatting>
  <conditionalFormatting sqref="X65:Y65">
    <cfRule type="expression" dxfId="303" priority="396" stopIfTrue="1">
      <formula>AND(NOT(ISBLANK(X65)),$G$141)</formula>
    </cfRule>
  </conditionalFormatting>
  <conditionalFormatting sqref="D83:E83">
    <cfRule type="expression" dxfId="302" priority="388" stopIfTrue="1">
      <formula>AND(NOT(ISBLANK(D83)),$G$139)</formula>
    </cfRule>
  </conditionalFormatting>
  <conditionalFormatting sqref="D84:E84">
    <cfRule type="expression" dxfId="301" priority="387" stopIfTrue="1">
      <formula>AND(NOT(ISBLANK(D84)),$G$140)</formula>
    </cfRule>
  </conditionalFormatting>
  <conditionalFormatting sqref="D85:E85">
    <cfRule type="expression" dxfId="300" priority="386" stopIfTrue="1">
      <formula>AND(NOT(ISBLANK(D85)),$G$141)</formula>
    </cfRule>
  </conditionalFormatting>
  <conditionalFormatting sqref="D86:E86">
    <cfRule type="expression" dxfId="299" priority="385" stopIfTrue="1">
      <formula>AND(NOT(ISBLANK(D86)),$G$142)</formula>
    </cfRule>
  </conditionalFormatting>
  <conditionalFormatting sqref="D87:E87">
    <cfRule type="expression" dxfId="298" priority="384" stopIfTrue="1">
      <formula>AND(NOT(ISBLANK(D87)),$G$138)</formula>
    </cfRule>
  </conditionalFormatting>
  <conditionalFormatting sqref="D88:E88">
    <cfRule type="expression" dxfId="297" priority="383" stopIfTrue="1">
      <formula>AND(NOT(ISBLANK(D88)),$G$139)</formula>
    </cfRule>
  </conditionalFormatting>
  <conditionalFormatting sqref="D89:E89">
    <cfRule type="expression" dxfId="296" priority="382" stopIfTrue="1">
      <formula>AND(NOT(ISBLANK(D89)),$G$140)</formula>
    </cfRule>
  </conditionalFormatting>
  <conditionalFormatting sqref="D90:E90">
    <cfRule type="expression" dxfId="295" priority="381" stopIfTrue="1">
      <formula>AND(NOT(ISBLANK(D90)),$G$141)</formula>
    </cfRule>
  </conditionalFormatting>
  <conditionalFormatting sqref="D91:E91">
    <cfRule type="expression" dxfId="294" priority="380" stopIfTrue="1">
      <formula>AND(NOT(ISBLANK(D91)),$G$142)</formula>
    </cfRule>
  </conditionalFormatting>
  <conditionalFormatting sqref="H82:I82">
    <cfRule type="expression" dxfId="293" priority="379" stopIfTrue="1">
      <formula>AND(NOT(ISBLANK(H82)),$G$138)</formula>
    </cfRule>
  </conditionalFormatting>
  <conditionalFormatting sqref="H83:I83">
    <cfRule type="expression" dxfId="292" priority="378" stopIfTrue="1">
      <formula>AND(NOT(ISBLANK(H83)),$G$139)</formula>
    </cfRule>
  </conditionalFormatting>
  <conditionalFormatting sqref="H84:I84">
    <cfRule type="expression" dxfId="291" priority="377" stopIfTrue="1">
      <formula>AND(NOT(ISBLANK(H84)),$G$140)</formula>
    </cfRule>
  </conditionalFormatting>
  <conditionalFormatting sqref="H85:I85">
    <cfRule type="expression" dxfId="290" priority="376" stopIfTrue="1">
      <formula>AND(NOT(ISBLANK(H85)),$G$141)</formula>
    </cfRule>
  </conditionalFormatting>
  <conditionalFormatting sqref="H86:I86">
    <cfRule type="expression" dxfId="289" priority="375" stopIfTrue="1">
      <formula>AND(NOT(ISBLANK(H86)),$G$142)</formula>
    </cfRule>
  </conditionalFormatting>
  <conditionalFormatting sqref="U93">
    <cfRule type="expression" dxfId="288" priority="309" stopIfTrue="1">
      <formula>AND(NOT(ISBLANK(U93)),$G$139)</formula>
    </cfRule>
  </conditionalFormatting>
  <conditionalFormatting sqref="U94">
    <cfRule type="expression" dxfId="287" priority="308" stopIfTrue="1">
      <formula>AND(NOT(ISBLANK(U94)),$G$140)</formula>
    </cfRule>
  </conditionalFormatting>
  <conditionalFormatting sqref="X87:Y87">
    <cfRule type="expression" dxfId="286" priority="369" stopIfTrue="1">
      <formula>AND(NOT(ISBLANK(X87)),$G$138)</formula>
    </cfRule>
  </conditionalFormatting>
  <conditionalFormatting sqref="X88:Y88">
    <cfRule type="expression" dxfId="285" priority="368" stopIfTrue="1">
      <formula>AND(NOT(ISBLANK(X88)),$G$139)</formula>
    </cfRule>
  </conditionalFormatting>
  <conditionalFormatting sqref="X89:Y89">
    <cfRule type="expression" dxfId="284" priority="367" stopIfTrue="1">
      <formula>AND(NOT(ISBLANK(X89)),$G$140)</formula>
    </cfRule>
  </conditionalFormatting>
  <conditionalFormatting sqref="X90:Y90">
    <cfRule type="expression" dxfId="283" priority="366" stopIfTrue="1">
      <formula>AND(NOT(ISBLANK(X90)),$G$141)</formula>
    </cfRule>
  </conditionalFormatting>
  <conditionalFormatting sqref="L53:M53">
    <cfRule type="expression" dxfId="282" priority="329" stopIfTrue="1">
      <formula>AND(NOT(ISBLANK(L53)),$G$139)</formula>
    </cfRule>
  </conditionalFormatting>
  <conditionalFormatting sqref="L54:M54">
    <cfRule type="expression" dxfId="281" priority="328" stopIfTrue="1">
      <formula>AND(NOT(ISBLANK(L54)),$G$140)</formula>
    </cfRule>
  </conditionalFormatting>
  <conditionalFormatting sqref="L48">
    <cfRule type="expression" dxfId="280" priority="327" stopIfTrue="1">
      <formula>AND(NOT(ISBLANK(L48)),$G$139)</formula>
    </cfRule>
  </conditionalFormatting>
  <conditionalFormatting sqref="L49">
    <cfRule type="expression" dxfId="279" priority="326" stopIfTrue="1">
      <formula>AND(NOT(ISBLANK(L49)),$G$140)</formula>
    </cfRule>
  </conditionalFormatting>
  <conditionalFormatting sqref="T78:U78">
    <cfRule type="expression" dxfId="278" priority="323" stopIfTrue="1">
      <formula>AND(NOT(ISBLANK(T78)),$G$139)</formula>
    </cfRule>
  </conditionalFormatting>
  <conditionalFormatting sqref="T79:U79">
    <cfRule type="expression" dxfId="277" priority="322" stopIfTrue="1">
      <formula>AND(NOT(ISBLANK(T79)),$G$140)</formula>
    </cfRule>
  </conditionalFormatting>
  <conditionalFormatting sqref="P50:Q50">
    <cfRule type="expression" dxfId="276" priority="316" stopIfTrue="1">
      <formula>AND(NOT(ISBLANK(P50)),$G$141)</formula>
    </cfRule>
  </conditionalFormatting>
  <conditionalFormatting sqref="P55:Q55">
    <cfRule type="expression" dxfId="275" priority="315" stopIfTrue="1">
      <formula>AND(NOT(ISBLANK(P55)),$G$141)</formula>
    </cfRule>
  </conditionalFormatting>
  <conditionalFormatting sqref="U98">
    <cfRule type="expression" dxfId="274" priority="307" stopIfTrue="1">
      <formula>AND(NOT(ISBLANK(U98)),$G$139)</formula>
    </cfRule>
  </conditionalFormatting>
  <conditionalFormatting sqref="U99">
    <cfRule type="expression" dxfId="273" priority="306" stopIfTrue="1">
      <formula>AND(NOT(ISBLANK(U99)),$G$140)</formula>
    </cfRule>
  </conditionalFormatting>
  <conditionalFormatting sqref="M98">
    <cfRule type="expression" dxfId="272" priority="305" stopIfTrue="1">
      <formula>AND(NOT(ISBLANK(M98)),$G$139)</formula>
    </cfRule>
  </conditionalFormatting>
  <conditionalFormatting sqref="M99">
    <cfRule type="expression" dxfId="271" priority="304" stopIfTrue="1">
      <formula>AND(NOT(ISBLANK(M99)),$G$140)</formula>
    </cfRule>
  </conditionalFormatting>
  <conditionalFormatting sqref="E98">
    <cfRule type="expression" dxfId="270" priority="303" stopIfTrue="1">
      <formula>AND(NOT(ISBLANK(E98)),$G$139)</formula>
    </cfRule>
  </conditionalFormatting>
  <conditionalFormatting sqref="E99">
    <cfRule type="expression" dxfId="269" priority="302" stopIfTrue="1">
      <formula>AND(NOT(ISBLANK(E99)),$G$140)</formula>
    </cfRule>
  </conditionalFormatting>
  <conditionalFormatting sqref="E108">
    <cfRule type="expression" dxfId="268" priority="299" stopIfTrue="1">
      <formula>AND(NOT(ISBLANK(E108)),$G$139)</formula>
    </cfRule>
  </conditionalFormatting>
  <conditionalFormatting sqref="E109">
    <cfRule type="expression" dxfId="267" priority="298" stopIfTrue="1">
      <formula>AND(NOT(ISBLANK(E109)),$G$140)</formula>
    </cfRule>
  </conditionalFormatting>
  <conditionalFormatting sqref="M108">
    <cfRule type="expression" dxfId="266" priority="297" stopIfTrue="1">
      <formula>AND(NOT(ISBLANK(M108)),$G$139)</formula>
    </cfRule>
  </conditionalFormatting>
  <conditionalFormatting sqref="M109">
    <cfRule type="expression" dxfId="265" priority="296" stopIfTrue="1">
      <formula>AND(NOT(ISBLANK(M109)),$G$140)</formula>
    </cfRule>
  </conditionalFormatting>
  <conditionalFormatting sqref="U108">
    <cfRule type="expression" dxfId="264" priority="295" stopIfTrue="1">
      <formula>AND(NOT(ISBLANK(U108)),$G$139)</formula>
    </cfRule>
  </conditionalFormatting>
  <conditionalFormatting sqref="U109">
    <cfRule type="expression" dxfId="263" priority="294" stopIfTrue="1">
      <formula>AND(NOT(ISBLANK(U109)),$G$140)</formula>
    </cfRule>
  </conditionalFormatting>
  <conditionalFormatting sqref="E100">
    <cfRule type="expression" dxfId="262" priority="293" stopIfTrue="1">
      <formula>AND(NOT(ISBLANK(E100)),$G$141)</formula>
    </cfRule>
  </conditionalFormatting>
  <conditionalFormatting sqref="E101">
    <cfRule type="expression" dxfId="261" priority="292" stopIfTrue="1">
      <formula>AND(NOT(ISBLANK(E101)),$G$142)</formula>
    </cfRule>
  </conditionalFormatting>
  <conditionalFormatting sqref="E105">
    <cfRule type="expression" dxfId="260" priority="291" stopIfTrue="1">
      <formula>AND(NOT(ISBLANK(E105)),$G$141)</formula>
    </cfRule>
  </conditionalFormatting>
  <conditionalFormatting sqref="E106">
    <cfRule type="expression" dxfId="259" priority="290" stopIfTrue="1">
      <formula>AND(NOT(ISBLANK(E106)),$G$142)</formula>
    </cfRule>
  </conditionalFormatting>
  <conditionalFormatting sqref="E110">
    <cfRule type="expression" dxfId="258" priority="289" stopIfTrue="1">
      <formula>AND(NOT(ISBLANK(E110)),$G$141)</formula>
    </cfRule>
  </conditionalFormatting>
  <conditionalFormatting sqref="E111">
    <cfRule type="expression" dxfId="257" priority="288" stopIfTrue="1">
      <formula>AND(NOT(ISBLANK(E111)),$G$142)</formula>
    </cfRule>
  </conditionalFormatting>
  <conditionalFormatting sqref="M110">
    <cfRule type="expression" dxfId="256" priority="287" stopIfTrue="1">
      <formula>AND(NOT(ISBLANK(M110)),$G$141)</formula>
    </cfRule>
  </conditionalFormatting>
  <conditionalFormatting sqref="M111">
    <cfRule type="expression" dxfId="255" priority="286" stopIfTrue="1">
      <formula>AND(NOT(ISBLANK(M111)),$G$142)</formula>
    </cfRule>
  </conditionalFormatting>
  <conditionalFormatting sqref="M105">
    <cfRule type="expression" dxfId="254" priority="285" stopIfTrue="1">
      <formula>AND(NOT(ISBLANK(M105)),$G$141)</formula>
    </cfRule>
  </conditionalFormatting>
  <conditionalFormatting sqref="M106">
    <cfRule type="expression" dxfId="253" priority="284" stopIfTrue="1">
      <formula>AND(NOT(ISBLANK(M106)),$G$142)</formula>
    </cfRule>
  </conditionalFormatting>
  <conditionalFormatting sqref="M100">
    <cfRule type="expression" dxfId="252" priority="283" stopIfTrue="1">
      <formula>AND(NOT(ISBLANK(M100)),$G$141)</formula>
    </cfRule>
  </conditionalFormatting>
  <conditionalFormatting sqref="M101">
    <cfRule type="expression" dxfId="251" priority="282" stopIfTrue="1">
      <formula>AND(NOT(ISBLANK(M101)),$G$142)</formula>
    </cfRule>
  </conditionalFormatting>
  <conditionalFormatting sqref="M95">
    <cfRule type="expression" dxfId="250" priority="281" stopIfTrue="1">
      <formula>AND(NOT(ISBLANK(M95)),$G$141)</formula>
    </cfRule>
  </conditionalFormatting>
  <conditionalFormatting sqref="M96">
    <cfRule type="expression" dxfId="249" priority="280" stopIfTrue="1">
      <formula>AND(NOT(ISBLANK(M96)),$G$142)</formula>
    </cfRule>
  </conditionalFormatting>
  <conditionalFormatting sqref="U95">
    <cfRule type="expression" dxfId="248" priority="279" stopIfTrue="1">
      <formula>AND(NOT(ISBLANK(U95)),$G$141)</formula>
    </cfRule>
  </conditionalFormatting>
  <conditionalFormatting sqref="U96">
    <cfRule type="expression" dxfId="247" priority="278" stopIfTrue="1">
      <formula>AND(NOT(ISBLANK(U96)),$G$142)</formula>
    </cfRule>
  </conditionalFormatting>
  <conditionalFormatting sqref="U100">
    <cfRule type="expression" dxfId="246" priority="277" stopIfTrue="1">
      <formula>AND(NOT(ISBLANK(U100)),$G$141)</formula>
    </cfRule>
  </conditionalFormatting>
  <conditionalFormatting sqref="U101">
    <cfRule type="expression" dxfId="245" priority="276" stopIfTrue="1">
      <formula>AND(NOT(ISBLANK(U101)),$G$142)</formula>
    </cfRule>
  </conditionalFormatting>
  <conditionalFormatting sqref="U105">
    <cfRule type="expression" dxfId="244" priority="275" stopIfTrue="1">
      <formula>AND(NOT(ISBLANK(U105)),$G$141)</formula>
    </cfRule>
  </conditionalFormatting>
  <conditionalFormatting sqref="U106">
    <cfRule type="expression" dxfId="243" priority="274" stopIfTrue="1">
      <formula>AND(NOT(ISBLANK(U106)),$G$142)</formula>
    </cfRule>
  </conditionalFormatting>
  <conditionalFormatting sqref="U110">
    <cfRule type="expression" dxfId="242" priority="273" stopIfTrue="1">
      <formula>AND(NOT(ISBLANK(U110)),$G$141)</formula>
    </cfRule>
  </conditionalFormatting>
  <conditionalFormatting sqref="U111">
    <cfRule type="expression" dxfId="241" priority="272" stopIfTrue="1">
      <formula>AND(NOT(ISBLANK(U111)),$G$142)</formula>
    </cfRule>
  </conditionalFormatting>
  <conditionalFormatting sqref="M48">
    <cfRule type="expression" dxfId="240" priority="269" stopIfTrue="1">
      <formula>AND(NOT(ISBLANK(M48)),$G$139)</formula>
    </cfRule>
  </conditionalFormatting>
  <conditionalFormatting sqref="M49">
    <cfRule type="expression" dxfId="239" priority="268" stopIfTrue="1">
      <formula>AND(NOT(ISBLANK(M49)),$G$140)</formula>
    </cfRule>
  </conditionalFormatting>
  <conditionalFormatting sqref="M78">
    <cfRule type="expression" dxfId="238" priority="267" stopIfTrue="1">
      <formula>AND(NOT(ISBLANK(M78)),$G$139)</formula>
    </cfRule>
  </conditionalFormatting>
  <conditionalFormatting sqref="M79">
    <cfRule type="expression" dxfId="237" priority="266" stopIfTrue="1">
      <formula>AND(NOT(ISBLANK(M79)),$G$140)</formula>
    </cfRule>
  </conditionalFormatting>
  <conditionalFormatting sqref="L43:M43">
    <cfRule type="expression" dxfId="236" priority="265" stopIfTrue="1">
      <formula>AND(NOT(ISBLANK(L43)),$G$139)</formula>
    </cfRule>
  </conditionalFormatting>
  <conditionalFormatting sqref="L44:M44">
    <cfRule type="expression" dxfId="235" priority="264" stopIfTrue="1">
      <formula>AND(NOT(ISBLANK(L44)),$G$140)</formula>
    </cfRule>
  </conditionalFormatting>
  <conditionalFormatting sqref="I55">
    <cfRule type="expression" dxfId="234" priority="263" stopIfTrue="1">
      <formula>AND(NOT(ISBLANK(I55)),$G$141)</formula>
    </cfRule>
  </conditionalFormatting>
  <conditionalFormatting sqref="L93:M93">
    <cfRule type="expression" dxfId="233" priority="259" stopIfTrue="1">
      <formula>AND(NOT(ISBLANK(L93)),$G$139)</formula>
    </cfRule>
  </conditionalFormatting>
  <conditionalFormatting sqref="L94:M94">
    <cfRule type="expression" dxfId="232" priority="258" stopIfTrue="1">
      <formula>AND(NOT(ISBLANK(L94)),$G$140)</formula>
    </cfRule>
  </conditionalFormatting>
  <conditionalFormatting sqref="D95">
    <cfRule type="expression" dxfId="231" priority="257" stopIfTrue="1">
      <formula>AND(NOT(ISBLANK(D95)),$G$141)</formula>
    </cfRule>
  </conditionalFormatting>
  <conditionalFormatting sqref="E95">
    <cfRule type="expression" dxfId="230" priority="256" stopIfTrue="1">
      <formula>AND(NOT(ISBLANK(E95)),$G$141)</formula>
    </cfRule>
  </conditionalFormatting>
  <conditionalFormatting sqref="M103">
    <cfRule type="expression" dxfId="229" priority="253" stopIfTrue="1">
      <formula>AND(NOT(ISBLANK(M103)),$G$139)</formula>
    </cfRule>
  </conditionalFormatting>
  <conditionalFormatting sqref="M104">
    <cfRule type="expression" dxfId="228" priority="252" stopIfTrue="1">
      <formula>AND(NOT(ISBLANK(M104)),$G$140)</formula>
    </cfRule>
  </conditionalFormatting>
  <conditionalFormatting sqref="E103">
    <cfRule type="expression" dxfId="227" priority="251" stopIfTrue="1">
      <formula>AND(NOT(ISBLANK(E103)),$G$139)</formula>
    </cfRule>
  </conditionalFormatting>
  <conditionalFormatting sqref="E104">
    <cfRule type="expression" dxfId="226" priority="250" stopIfTrue="1">
      <formula>AND(NOT(ISBLANK(E104)),$G$140)</formula>
    </cfRule>
  </conditionalFormatting>
  <conditionalFormatting sqref="T53">
    <cfRule type="expression" dxfId="225" priority="248" stopIfTrue="1">
      <formula>AND(NOT(ISBLANK(T53)),$G$139)</formula>
    </cfRule>
  </conditionalFormatting>
  <conditionalFormatting sqref="T54">
    <cfRule type="expression" dxfId="224" priority="247" stopIfTrue="1">
      <formula>AND(NOT(ISBLANK(T54)),$G$140)</formula>
    </cfRule>
  </conditionalFormatting>
  <conditionalFormatting sqref="X78:Y78">
    <cfRule type="expression" dxfId="223" priority="246" stopIfTrue="1">
      <formula>AND(NOT(ISBLANK(X78)),$G$139)</formula>
    </cfRule>
  </conditionalFormatting>
  <conditionalFormatting sqref="X79:Y79">
    <cfRule type="expression" dxfId="222" priority="245" stopIfTrue="1">
      <formula>AND(NOT(ISBLANK(X79)),$G$140)</formula>
    </cfRule>
  </conditionalFormatting>
  <conditionalFormatting sqref="P78">
    <cfRule type="expression" dxfId="221" priority="244" stopIfTrue="1">
      <formula>AND(NOT(ISBLANK(P78)),$G$139)</formula>
    </cfRule>
  </conditionalFormatting>
  <conditionalFormatting sqref="P79">
    <cfRule type="expression" dxfId="220" priority="243" stopIfTrue="1">
      <formula>AND(NOT(ISBLANK(P79)),$G$140)</formula>
    </cfRule>
  </conditionalFormatting>
  <conditionalFormatting sqref="Q78">
    <cfRule type="expression" dxfId="219" priority="242" stopIfTrue="1">
      <formula>AND(NOT(ISBLANK(Q78)),$G$139)</formula>
    </cfRule>
  </conditionalFormatting>
  <conditionalFormatting sqref="Q79">
    <cfRule type="expression" dxfId="218" priority="241" stopIfTrue="1">
      <formula>AND(NOT(ISBLANK(Q79)),$G$140)</formula>
    </cfRule>
  </conditionalFormatting>
  <conditionalFormatting sqref="X48">
    <cfRule type="expression" dxfId="217" priority="238" stopIfTrue="1">
      <formula>AND(NOT(ISBLANK(X48)),$G$139)</formula>
    </cfRule>
  </conditionalFormatting>
  <conditionalFormatting sqref="X49">
    <cfRule type="expression" dxfId="216" priority="237" stopIfTrue="1">
      <formula>AND(NOT(ISBLANK(X49)),$G$140)</formula>
    </cfRule>
  </conditionalFormatting>
  <conditionalFormatting sqref="Y48">
    <cfRule type="expression" dxfId="215" priority="236" stopIfTrue="1">
      <formula>AND(NOT(ISBLANK(Y48)),$G$139)</formula>
    </cfRule>
  </conditionalFormatting>
  <conditionalFormatting sqref="Y49">
    <cfRule type="expression" dxfId="214" priority="235" stopIfTrue="1">
      <formula>AND(NOT(ISBLANK(Y49)),$G$140)</formula>
    </cfRule>
  </conditionalFormatting>
  <conditionalFormatting sqref="H74">
    <cfRule type="expression" dxfId="213" priority="234" stopIfTrue="1">
      <formula>AND(NOT(ISBLANK(H74)),$G$140)</formula>
    </cfRule>
  </conditionalFormatting>
  <conditionalFormatting sqref="D80:E80">
    <cfRule type="expression" dxfId="212" priority="233" stopIfTrue="1">
      <formula>AND(NOT(ISBLANK(D80)),$G$141)</formula>
    </cfRule>
  </conditionalFormatting>
  <conditionalFormatting sqref="H80:I80">
    <cfRule type="expression" dxfId="211" priority="232" stopIfTrue="1">
      <formula>AND(NOT(ISBLANK(H80)),$G$141)</formula>
    </cfRule>
  </conditionalFormatting>
  <conditionalFormatting sqref="D40">
    <cfRule type="expression" dxfId="210" priority="231" stopIfTrue="1">
      <formula>AND(NOT(ISBLANK(D40)),$G$141)</formula>
    </cfRule>
  </conditionalFormatting>
  <conditionalFormatting sqref="D95">
    <cfRule type="expression" dxfId="209" priority="223" stopIfTrue="1">
      <formula>AND(NOT(ISBLANK(D95)),$G$141)</formula>
    </cfRule>
  </conditionalFormatting>
  <conditionalFormatting sqref="H67">
    <cfRule type="expression" dxfId="208" priority="228" stopIfTrue="1">
      <formula>AND(NOT(ISBLANK(H67)),$G$138)</formula>
    </cfRule>
  </conditionalFormatting>
  <conditionalFormatting sqref="H70">
    <cfRule type="expression" dxfId="207" priority="227" stopIfTrue="1">
      <formula>AND(NOT(ISBLANK(H70)),$G$141)</formula>
    </cfRule>
  </conditionalFormatting>
  <conditionalFormatting sqref="H71">
    <cfRule type="expression" dxfId="206" priority="226" stopIfTrue="1">
      <formula>AND(NOT(ISBLANK(H71)),$G$142)</formula>
    </cfRule>
  </conditionalFormatting>
  <conditionalFormatting sqref="H68">
    <cfRule type="expression" dxfId="205" priority="225" stopIfTrue="1">
      <formula>AND(NOT(ISBLANK(H68)),$G$139)</formula>
    </cfRule>
  </conditionalFormatting>
  <conditionalFormatting sqref="H69">
    <cfRule type="expression" dxfId="204" priority="224" stopIfTrue="1">
      <formula>AND(NOT(ISBLANK(H69)),$G$140)</formula>
    </cfRule>
  </conditionalFormatting>
  <conditionalFormatting sqref="E93">
    <cfRule type="expression" dxfId="203" priority="222" stopIfTrue="1">
      <formula>AND(NOT(ISBLANK(E93)),$G$139)</formula>
    </cfRule>
  </conditionalFormatting>
  <conditionalFormatting sqref="E94">
    <cfRule type="expression" dxfId="202" priority="221" stopIfTrue="1">
      <formula>AND(NOT(ISBLANK(E94)),$G$140)</formula>
    </cfRule>
  </conditionalFormatting>
  <conditionalFormatting sqref="E95">
    <cfRule type="expression" dxfId="201" priority="220" stopIfTrue="1">
      <formula>AND(NOT(ISBLANK(E95)),$G$141)</formula>
    </cfRule>
  </conditionalFormatting>
  <conditionalFormatting sqref="E96">
    <cfRule type="expression" dxfId="200" priority="219" stopIfTrue="1">
      <formula>AND(NOT(ISBLANK(E96)),$G$142)</formula>
    </cfRule>
  </conditionalFormatting>
  <conditionalFormatting sqref="D90">
    <cfRule type="expression" dxfId="199" priority="218" stopIfTrue="1">
      <formula>AND(NOT(ISBLANK(D90)),$G$141)</formula>
    </cfRule>
  </conditionalFormatting>
  <conditionalFormatting sqref="E90">
    <cfRule type="expression" dxfId="198" priority="217" stopIfTrue="1">
      <formula>AND(NOT(ISBLANK(E90)),$G$141)</formula>
    </cfRule>
  </conditionalFormatting>
  <conditionalFormatting sqref="L93">
    <cfRule type="expression" dxfId="197" priority="216" stopIfTrue="1">
      <formula>AND(NOT(ISBLANK(L93)),$G$139)</formula>
    </cfRule>
  </conditionalFormatting>
  <conditionalFormatting sqref="L94">
    <cfRule type="expression" dxfId="196" priority="215" stopIfTrue="1">
      <formula>AND(NOT(ISBLANK(L94)),$G$140)</formula>
    </cfRule>
  </conditionalFormatting>
  <conditionalFormatting sqref="M93">
    <cfRule type="expression" dxfId="195" priority="214" stopIfTrue="1">
      <formula>AND(NOT(ISBLANK(M93)),$G$139)</formula>
    </cfRule>
  </conditionalFormatting>
  <conditionalFormatting sqref="M94">
    <cfRule type="expression" dxfId="194" priority="213" stopIfTrue="1">
      <formula>AND(NOT(ISBLANK(M94)),$G$140)</formula>
    </cfRule>
  </conditionalFormatting>
  <conditionalFormatting sqref="M95">
    <cfRule type="expression" dxfId="193" priority="212" stopIfTrue="1">
      <formula>AND(NOT(ISBLANK(M95)),$G$141)</formula>
    </cfRule>
  </conditionalFormatting>
  <conditionalFormatting sqref="M96">
    <cfRule type="expression" dxfId="192" priority="211" stopIfTrue="1">
      <formula>AND(NOT(ISBLANK(M96)),$G$142)</formula>
    </cfRule>
  </conditionalFormatting>
  <conditionalFormatting sqref="M90">
    <cfRule type="expression" dxfId="191" priority="210" stopIfTrue="1">
      <formula>AND(NOT(ISBLANK(M90)),$G$141)</formula>
    </cfRule>
  </conditionalFormatting>
  <conditionalFormatting sqref="M91">
    <cfRule type="expression" dxfId="190" priority="209" stopIfTrue="1">
      <formula>AND(NOT(ISBLANK(M91)),$G$142)</formula>
    </cfRule>
  </conditionalFormatting>
  <conditionalFormatting sqref="L88:M88">
    <cfRule type="expression" dxfId="189" priority="208" stopIfTrue="1">
      <formula>AND(NOT(ISBLANK(L88)),$G$139)</formula>
    </cfRule>
  </conditionalFormatting>
  <conditionalFormatting sqref="L89:M89">
    <cfRule type="expression" dxfId="188" priority="207" stopIfTrue="1">
      <formula>AND(NOT(ISBLANK(L89)),$G$140)</formula>
    </cfRule>
  </conditionalFormatting>
  <conditionalFormatting sqref="U88">
    <cfRule type="expression" dxfId="187" priority="206" stopIfTrue="1">
      <formula>AND(NOT(ISBLANK(U88)),$G$139)</formula>
    </cfRule>
  </conditionalFormatting>
  <conditionalFormatting sqref="U89">
    <cfRule type="expression" dxfId="186" priority="205" stopIfTrue="1">
      <formula>AND(NOT(ISBLANK(U89)),$G$140)</formula>
    </cfRule>
  </conditionalFormatting>
  <conditionalFormatting sqref="U93">
    <cfRule type="expression" dxfId="185" priority="204" stopIfTrue="1">
      <formula>AND(NOT(ISBLANK(U93)),$G$139)</formula>
    </cfRule>
  </conditionalFormatting>
  <conditionalFormatting sqref="U94">
    <cfRule type="expression" dxfId="184" priority="203" stopIfTrue="1">
      <formula>AND(NOT(ISBLANK(U94)),$G$140)</formula>
    </cfRule>
  </conditionalFormatting>
  <conditionalFormatting sqref="U90">
    <cfRule type="expression" dxfId="183" priority="202" stopIfTrue="1">
      <formula>AND(NOT(ISBLANK(U90)),$G$141)</formula>
    </cfRule>
  </conditionalFormatting>
  <conditionalFormatting sqref="U91">
    <cfRule type="expression" dxfId="182" priority="201" stopIfTrue="1">
      <formula>AND(NOT(ISBLANK(U91)),$G$142)</formula>
    </cfRule>
  </conditionalFormatting>
  <conditionalFormatting sqref="U95">
    <cfRule type="expression" dxfId="181" priority="200" stopIfTrue="1">
      <formula>AND(NOT(ISBLANK(U95)),$G$141)</formula>
    </cfRule>
  </conditionalFormatting>
  <conditionalFormatting sqref="U96">
    <cfRule type="expression" dxfId="180" priority="199" stopIfTrue="1">
      <formula>AND(NOT(ISBLANK(U96)),$G$142)</formula>
    </cfRule>
  </conditionalFormatting>
  <conditionalFormatting sqref="E103">
    <cfRule type="expression" dxfId="179" priority="196" stopIfTrue="1">
      <formula>AND(NOT(ISBLANK(E103)),$G$139)</formula>
    </cfRule>
  </conditionalFormatting>
  <conditionalFormatting sqref="E104">
    <cfRule type="expression" dxfId="178" priority="195" stopIfTrue="1">
      <formula>AND(NOT(ISBLANK(E104)),$G$140)</formula>
    </cfRule>
  </conditionalFormatting>
  <conditionalFormatting sqref="E100">
    <cfRule type="expression" dxfId="177" priority="194" stopIfTrue="1">
      <formula>AND(NOT(ISBLANK(E100)),$G$141)</formula>
    </cfRule>
  </conditionalFormatting>
  <conditionalFormatting sqref="E101">
    <cfRule type="expression" dxfId="176" priority="193" stopIfTrue="1">
      <formula>AND(NOT(ISBLANK(E101)),$G$142)</formula>
    </cfRule>
  </conditionalFormatting>
  <conditionalFormatting sqref="E105">
    <cfRule type="expression" dxfId="175" priority="192" stopIfTrue="1">
      <formula>AND(NOT(ISBLANK(E105)),$G$141)</formula>
    </cfRule>
  </conditionalFormatting>
  <conditionalFormatting sqref="E106">
    <cfRule type="expression" dxfId="174" priority="191" stopIfTrue="1">
      <formula>AND(NOT(ISBLANK(E106)),$G$142)</formula>
    </cfRule>
  </conditionalFormatting>
  <conditionalFormatting sqref="E98">
    <cfRule type="expression" dxfId="173" priority="190" stopIfTrue="1">
      <formula>AND(NOT(ISBLANK(E98)),$G$139)</formula>
    </cfRule>
  </conditionalFormatting>
  <conditionalFormatting sqref="E99">
    <cfRule type="expression" dxfId="172" priority="189" stopIfTrue="1">
      <formula>AND(NOT(ISBLANK(E99)),$G$140)</formula>
    </cfRule>
  </conditionalFormatting>
  <conditionalFormatting sqref="M103">
    <cfRule type="expression" dxfId="171" priority="186" stopIfTrue="1">
      <formula>AND(NOT(ISBLANK(M103)),$G$139)</formula>
    </cfRule>
  </conditionalFormatting>
  <conditionalFormatting sqref="M104">
    <cfRule type="expression" dxfId="170" priority="185" stopIfTrue="1">
      <formula>AND(NOT(ISBLANK(M104)),$G$140)</formula>
    </cfRule>
  </conditionalFormatting>
  <conditionalFormatting sqref="M105">
    <cfRule type="expression" dxfId="169" priority="184" stopIfTrue="1">
      <formula>AND(NOT(ISBLANK(M105)),$G$141)</formula>
    </cfRule>
  </conditionalFormatting>
  <conditionalFormatting sqref="M106">
    <cfRule type="expression" dxfId="168" priority="183" stopIfTrue="1">
      <formula>AND(NOT(ISBLANK(M106)),$G$142)</formula>
    </cfRule>
  </conditionalFormatting>
  <conditionalFormatting sqref="M100">
    <cfRule type="expression" dxfId="167" priority="182" stopIfTrue="1">
      <formula>AND(NOT(ISBLANK(M100)),$G$141)</formula>
    </cfRule>
  </conditionalFormatting>
  <conditionalFormatting sqref="M101">
    <cfRule type="expression" dxfId="166" priority="181" stopIfTrue="1">
      <formula>AND(NOT(ISBLANK(M101)),$G$142)</formula>
    </cfRule>
  </conditionalFormatting>
  <conditionalFormatting sqref="M98">
    <cfRule type="expression" dxfId="165" priority="178" stopIfTrue="1">
      <formula>AND(NOT(ISBLANK(M98)),$G$139)</formula>
    </cfRule>
  </conditionalFormatting>
  <conditionalFormatting sqref="M99">
    <cfRule type="expression" dxfId="164" priority="177" stopIfTrue="1">
      <formula>AND(NOT(ISBLANK(M99)),$G$140)</formula>
    </cfRule>
  </conditionalFormatting>
  <conditionalFormatting sqref="U103">
    <cfRule type="expression" dxfId="163" priority="176" stopIfTrue="1">
      <formula>AND(NOT(ISBLANK(U103)),$G$139)</formula>
    </cfRule>
  </conditionalFormatting>
  <conditionalFormatting sqref="U104">
    <cfRule type="expression" dxfId="162" priority="175" stopIfTrue="1">
      <formula>AND(NOT(ISBLANK(U104)),$G$140)</formula>
    </cfRule>
  </conditionalFormatting>
  <conditionalFormatting sqref="U100">
    <cfRule type="expression" dxfId="161" priority="174" stopIfTrue="1">
      <formula>AND(NOT(ISBLANK(U100)),$G$141)</formula>
    </cfRule>
  </conditionalFormatting>
  <conditionalFormatting sqref="U101">
    <cfRule type="expression" dxfId="160" priority="173" stopIfTrue="1">
      <formula>AND(NOT(ISBLANK(U101)),$G$142)</formula>
    </cfRule>
  </conditionalFormatting>
  <conditionalFormatting sqref="U105">
    <cfRule type="expression" dxfId="159" priority="172" stopIfTrue="1">
      <formula>AND(NOT(ISBLANK(U105)),$G$141)</formula>
    </cfRule>
  </conditionalFormatting>
  <conditionalFormatting sqref="U106">
    <cfRule type="expression" dxfId="158" priority="171" stopIfTrue="1">
      <formula>AND(NOT(ISBLANK(U106)),$G$142)</formula>
    </cfRule>
  </conditionalFormatting>
  <conditionalFormatting sqref="D43:E43">
    <cfRule type="expression" dxfId="157" priority="170" stopIfTrue="1">
      <formula>AND(NOT(ISBLANK(D43)),$G$139)</formula>
    </cfRule>
  </conditionalFormatting>
  <conditionalFormatting sqref="D44">
    <cfRule type="expression" dxfId="156" priority="169" stopIfTrue="1">
      <formula>AND(NOT(ISBLANK(D44)),$G$140)</formula>
    </cfRule>
  </conditionalFormatting>
  <conditionalFormatting sqref="X71:Y71">
    <cfRule type="expression" dxfId="155" priority="160" stopIfTrue="1">
      <formula>AND(NOT(ISBLANK(X71)),$G$142)</formula>
    </cfRule>
  </conditionalFormatting>
  <conditionalFormatting sqref="P45:Q45">
    <cfRule type="expression" dxfId="154" priority="159" stopIfTrue="1">
      <formula>AND(NOT(ISBLANK(P45)),$G$141)</formula>
    </cfRule>
  </conditionalFormatting>
  <conditionalFormatting sqref="L45:M45">
    <cfRule type="expression" dxfId="153" priority="158" stopIfTrue="1">
      <formula>AND(NOT(ISBLANK(L45)),$G$141)</formula>
    </cfRule>
  </conditionalFormatting>
  <conditionalFormatting sqref="I45">
    <cfRule type="expression" dxfId="152" priority="157" stopIfTrue="1">
      <formula>AND(NOT(ISBLANK(I45)),$G$141)</formula>
    </cfRule>
  </conditionalFormatting>
  <conditionalFormatting sqref="H55">
    <cfRule type="expression" dxfId="151" priority="156" stopIfTrue="1">
      <formula>AND(NOT(ISBLANK(H55)),$G$141)</formula>
    </cfRule>
  </conditionalFormatting>
  <conditionalFormatting sqref="D102 D97">
    <cfRule type="expression" dxfId="150" priority="155" stopIfTrue="1">
      <formula>AND(NOT(ISBLANK(D97)),$G$138)</formula>
    </cfRule>
  </conditionalFormatting>
  <conditionalFormatting sqref="D98 D103">
    <cfRule type="expression" dxfId="149" priority="154" stopIfTrue="1">
      <formula>AND(NOT(ISBLANK(D98)),$G$139)</formula>
    </cfRule>
  </conditionalFormatting>
  <conditionalFormatting sqref="D99 D104">
    <cfRule type="expression" dxfId="148" priority="153" stopIfTrue="1">
      <formula>AND(NOT(ISBLANK(D99)),$G$140)</formula>
    </cfRule>
  </conditionalFormatting>
  <conditionalFormatting sqref="D101 D106">
    <cfRule type="expression" dxfId="147" priority="152" stopIfTrue="1">
      <formula>AND(NOT(ISBLANK(D101)),$G$142)</formula>
    </cfRule>
  </conditionalFormatting>
  <conditionalFormatting sqref="D97">
    <cfRule type="expression" dxfId="146" priority="151" stopIfTrue="1">
      <formula>AND(NOT(ISBLANK(D97)),$G$138)</formula>
    </cfRule>
  </conditionalFormatting>
  <conditionalFormatting sqref="D98">
    <cfRule type="expression" dxfId="145" priority="150" stopIfTrue="1">
      <formula>AND(NOT(ISBLANK(D98)),$G$139)</formula>
    </cfRule>
  </conditionalFormatting>
  <conditionalFormatting sqref="D99">
    <cfRule type="expression" dxfId="144" priority="149" stopIfTrue="1">
      <formula>AND(NOT(ISBLANK(D99)),$G$140)</formula>
    </cfRule>
  </conditionalFormatting>
  <conditionalFormatting sqref="D100">
    <cfRule type="expression" dxfId="143" priority="148" stopIfTrue="1">
      <formula>AND(NOT(ISBLANK(D100)),$G$141)</formula>
    </cfRule>
  </conditionalFormatting>
  <conditionalFormatting sqref="D101">
    <cfRule type="expression" dxfId="142" priority="147" stopIfTrue="1">
      <formula>AND(NOT(ISBLANK(D101)),$G$142)</formula>
    </cfRule>
  </conditionalFormatting>
  <conditionalFormatting sqref="D100">
    <cfRule type="expression" dxfId="141" priority="144" stopIfTrue="1">
      <formula>AND(NOT(ISBLANK(D100)),$G$141)</formula>
    </cfRule>
  </conditionalFormatting>
  <conditionalFormatting sqref="L97 L102">
    <cfRule type="expression" dxfId="140" priority="143" stopIfTrue="1">
      <formula>AND(NOT(ISBLANK(L97)),$G$138)</formula>
    </cfRule>
  </conditionalFormatting>
  <conditionalFormatting sqref="L98">
    <cfRule type="expression" dxfId="139" priority="142" stopIfTrue="1">
      <formula>AND(NOT(ISBLANK(L98)),$G$139)</formula>
    </cfRule>
  </conditionalFormatting>
  <conditionalFormatting sqref="T99">
    <cfRule type="expression" dxfId="138" priority="130" stopIfTrue="1">
      <formula>AND(NOT(ISBLANK(T99)),$G$140)</formula>
    </cfRule>
  </conditionalFormatting>
  <conditionalFormatting sqref="L100 L105">
    <cfRule type="expression" dxfId="137" priority="140" stopIfTrue="1">
      <formula>AND(NOT(ISBLANK(L100)),$G$141)</formula>
    </cfRule>
  </conditionalFormatting>
  <conditionalFormatting sqref="L101 L106">
    <cfRule type="expression" dxfId="136" priority="139" stopIfTrue="1">
      <formula>AND(NOT(ISBLANK(L101)),$G$142)</formula>
    </cfRule>
  </conditionalFormatting>
  <conditionalFormatting sqref="L103">
    <cfRule type="expression" dxfId="135" priority="138" stopIfTrue="1">
      <formula>AND(NOT(ISBLANK(L103)),$G$139)</formula>
    </cfRule>
  </conditionalFormatting>
  <conditionalFormatting sqref="L104">
    <cfRule type="expression" dxfId="134" priority="137" stopIfTrue="1">
      <formula>AND(NOT(ISBLANK(L104)),$G$140)</formula>
    </cfRule>
  </conditionalFormatting>
  <conditionalFormatting sqref="L103">
    <cfRule type="expression" dxfId="133" priority="136" stopIfTrue="1">
      <formula>AND(NOT(ISBLANK(L103)),$G$139)</formula>
    </cfRule>
  </conditionalFormatting>
  <conditionalFormatting sqref="L104">
    <cfRule type="expression" dxfId="132" priority="135" stopIfTrue="1">
      <formula>AND(NOT(ISBLANK(L104)),$G$140)</formula>
    </cfRule>
  </conditionalFormatting>
  <conditionalFormatting sqref="L98">
    <cfRule type="expression" dxfId="131" priority="134" stopIfTrue="1">
      <formula>AND(NOT(ISBLANK(L98)),$G$139)</formula>
    </cfRule>
  </conditionalFormatting>
  <conditionalFormatting sqref="T97 T102">
    <cfRule type="expression" dxfId="130" priority="132" stopIfTrue="1">
      <formula>AND(NOT(ISBLANK(T97)),$G$138)</formula>
    </cfRule>
  </conditionalFormatting>
  <conditionalFormatting sqref="T98">
    <cfRule type="expression" dxfId="129" priority="131" stopIfTrue="1">
      <formula>AND(NOT(ISBLANK(T98)),$G$139)</formula>
    </cfRule>
  </conditionalFormatting>
  <conditionalFormatting sqref="T100 T105">
    <cfRule type="expression" dxfId="128" priority="129" stopIfTrue="1">
      <formula>AND(NOT(ISBLANK(T100)),$G$141)</formula>
    </cfRule>
  </conditionalFormatting>
  <conditionalFormatting sqref="T101 T106">
    <cfRule type="expression" dxfId="127" priority="128" stopIfTrue="1">
      <formula>AND(NOT(ISBLANK(T101)),$G$142)</formula>
    </cfRule>
  </conditionalFormatting>
  <conditionalFormatting sqref="L117:N117 P117:R117 T117:V117 X117:Z117 H117:J117 D117:F117">
    <cfRule type="expression" dxfId="126" priority="127" stopIfTrue="1">
      <formula>AND(NOT(ISBLANK(D117)),$G$138)</formula>
    </cfRule>
  </conditionalFormatting>
  <conditionalFormatting sqref="L118:N118 P118:R118 T118:V118 X118:Z118 H118:J118 D118:F118">
    <cfRule type="expression" dxfId="125" priority="126" stopIfTrue="1">
      <formula>AND(NOT(ISBLANK(D118)),$G$139)</formula>
    </cfRule>
  </conditionalFormatting>
  <conditionalFormatting sqref="L119:N119 P119:R119 T119:V119 X119:Z119 H119:J119 D119:F119">
    <cfRule type="expression" dxfId="124" priority="125" stopIfTrue="1">
      <formula>AND(NOT(ISBLANK(D119)),$G$140)</formula>
    </cfRule>
  </conditionalFormatting>
  <conditionalFormatting sqref="L120:N120 P120:R120 T120:V120 X120:Z120 H120:J120 D120:F120">
    <cfRule type="expression" dxfId="123" priority="124" stopIfTrue="1">
      <formula>AND(NOT(ISBLANK(D120)),$G$141)</formula>
    </cfRule>
  </conditionalFormatting>
  <conditionalFormatting sqref="L121:N121 P121:R121 T121:V121 X121:Z121 H121:J121 D121:F121">
    <cfRule type="expression" dxfId="122" priority="123" stopIfTrue="1">
      <formula>AND(NOT(ISBLANK(D121)),$G$142)</formula>
    </cfRule>
  </conditionalFormatting>
  <conditionalFormatting sqref="M122:N122 P122:R122 U122:V122 X122:Z122 H122:J122 E122:F122">
    <cfRule type="expression" dxfId="121" priority="122" stopIfTrue="1">
      <formula>AND(NOT(ISBLANK(E122)),$G$138)</formula>
    </cfRule>
  </conditionalFormatting>
  <conditionalFormatting sqref="M123:N123 P123:R123 U123:V123 X123:Z123 H123:J123 E123:F123">
    <cfRule type="expression" dxfId="120" priority="121" stopIfTrue="1">
      <formula>AND(NOT(ISBLANK(E123)),$G$139)</formula>
    </cfRule>
  </conditionalFormatting>
  <conditionalFormatting sqref="M124:N124 P124:R124 U124:V124 X124:Z124 H124:J124 E124:F124">
    <cfRule type="expression" dxfId="119" priority="120" stopIfTrue="1">
      <formula>AND(NOT(ISBLANK(E124)),$G$140)</formula>
    </cfRule>
  </conditionalFormatting>
  <conditionalFormatting sqref="M125:N125 P125:R125 U125:V125 X125:Z125 H125:J125 E125:F125">
    <cfRule type="expression" dxfId="118" priority="119" stopIfTrue="1">
      <formula>AND(NOT(ISBLANK(E125)),$G$141)</formula>
    </cfRule>
  </conditionalFormatting>
  <conditionalFormatting sqref="M126:N126 P126:R126 U126:V126 X126:Z126 H126:J126 E126:F126">
    <cfRule type="expression" dxfId="117" priority="118" stopIfTrue="1">
      <formula>AND(NOT(ISBLANK(E126)),$G$142)</formula>
    </cfRule>
  </conditionalFormatting>
  <conditionalFormatting sqref="M127:N127 P127:R127 U127:V127 X127:Z127 H127:J127 E127:F127">
    <cfRule type="expression" dxfId="116" priority="117" stopIfTrue="1">
      <formula>AND(NOT(ISBLANK(E127)),$G$138)</formula>
    </cfRule>
  </conditionalFormatting>
  <conditionalFormatting sqref="M128:N128 P128:R128 U128:V128 X128:Z128 H128:J128 E128:F128">
    <cfRule type="expression" dxfId="115" priority="116" stopIfTrue="1">
      <formula>AND(NOT(ISBLANK(E128)),$G$139)</formula>
    </cfRule>
  </conditionalFormatting>
  <conditionalFormatting sqref="M129:N129 P129:R129 U129:V129 X129:Z129 H129:J129 E129:F129">
    <cfRule type="expression" dxfId="114" priority="115" stopIfTrue="1">
      <formula>AND(NOT(ISBLANK(E129)),$G$140)</formula>
    </cfRule>
  </conditionalFormatting>
  <conditionalFormatting sqref="M130:N130 P130:R130 U130:V130 X130:Z130 H130:J130 E130:F130">
    <cfRule type="expression" dxfId="113" priority="114" stopIfTrue="1">
      <formula>AND(NOT(ISBLANK(E130)),$G$141)</formula>
    </cfRule>
  </conditionalFormatting>
  <conditionalFormatting sqref="M131:N131 P131:R131 U131:V131 X131:Z131 H131:J131 E131:F131">
    <cfRule type="expression" dxfId="112" priority="113" stopIfTrue="1">
      <formula>AND(NOT(ISBLANK(E131)),$G$142)</formula>
    </cfRule>
  </conditionalFormatting>
  <conditionalFormatting sqref="L132:N132 P132:R132 T132:V132 X132:Z132 H132:J132 D132:F132">
    <cfRule type="expression" dxfId="111" priority="112" stopIfTrue="1">
      <formula>AND(NOT(ISBLANK(D132)),$G$138)</formula>
    </cfRule>
  </conditionalFormatting>
  <conditionalFormatting sqref="L133:N133 P133:R133 T133:V133 X133:Z133 H133:J133 D133:F133">
    <cfRule type="expression" dxfId="110" priority="111" stopIfTrue="1">
      <formula>AND(NOT(ISBLANK(D133)),$G$139)</formula>
    </cfRule>
  </conditionalFormatting>
  <conditionalFormatting sqref="L134:N134 P134:R134 T134:V134 X134:Z134 H134:J134 D134:F134">
    <cfRule type="expression" dxfId="109" priority="110" stopIfTrue="1">
      <formula>AND(NOT(ISBLANK(D134)),$G$140)</formula>
    </cfRule>
  </conditionalFormatting>
  <conditionalFormatting sqref="L135:N135 P135:R135 T135:V135 X135:Z135 H135:J135 D135:F135">
    <cfRule type="expression" dxfId="108" priority="109" stopIfTrue="1">
      <formula>AND(NOT(ISBLANK(D135)),$G$141)</formula>
    </cfRule>
  </conditionalFormatting>
  <conditionalFormatting sqref="L136:N136 P136:R136 T136:V136 X136:Z136 H136:J136 D136:F136">
    <cfRule type="expression" dxfId="107" priority="108" stopIfTrue="1">
      <formula>AND(NOT(ISBLANK(D136)),$G$142)</formula>
    </cfRule>
  </conditionalFormatting>
  <conditionalFormatting sqref="D127 D122">
    <cfRule type="expression" dxfId="106" priority="107" stopIfTrue="1">
      <formula>AND(NOT(ISBLANK(D122)),$G$138)</formula>
    </cfRule>
  </conditionalFormatting>
  <conditionalFormatting sqref="D123 D128">
    <cfRule type="expression" dxfId="105" priority="106" stopIfTrue="1">
      <formula>AND(NOT(ISBLANK(D123)),$G$139)</formula>
    </cfRule>
  </conditionalFormatting>
  <conditionalFormatting sqref="D124 D129">
    <cfRule type="expression" dxfId="104" priority="105" stopIfTrue="1">
      <formula>AND(NOT(ISBLANK(D124)),$G$140)</formula>
    </cfRule>
  </conditionalFormatting>
  <conditionalFormatting sqref="D126 D131">
    <cfRule type="expression" dxfId="103" priority="104" stopIfTrue="1">
      <formula>AND(NOT(ISBLANK(D126)),$G$142)</formula>
    </cfRule>
  </conditionalFormatting>
  <conditionalFormatting sqref="D122">
    <cfRule type="expression" dxfId="102" priority="103" stopIfTrue="1">
      <formula>AND(NOT(ISBLANK(D122)),$G$138)</formula>
    </cfRule>
  </conditionalFormatting>
  <conditionalFormatting sqref="D123">
    <cfRule type="expression" dxfId="101" priority="102" stopIfTrue="1">
      <formula>AND(NOT(ISBLANK(D123)),$G$139)</formula>
    </cfRule>
  </conditionalFormatting>
  <conditionalFormatting sqref="D124">
    <cfRule type="expression" dxfId="100" priority="101" stopIfTrue="1">
      <formula>AND(NOT(ISBLANK(D124)),$G$140)</formula>
    </cfRule>
  </conditionalFormatting>
  <conditionalFormatting sqref="D125">
    <cfRule type="expression" dxfId="99" priority="100" stopIfTrue="1">
      <formula>AND(NOT(ISBLANK(D125)),$G$141)</formula>
    </cfRule>
  </conditionalFormatting>
  <conditionalFormatting sqref="D126">
    <cfRule type="expression" dxfId="98" priority="99" stopIfTrue="1">
      <formula>AND(NOT(ISBLANK(D126)),$G$142)</formula>
    </cfRule>
  </conditionalFormatting>
  <conditionalFormatting sqref="D130">
    <cfRule type="expression" dxfId="97" priority="98" stopIfTrue="1">
      <formula>AND(NOT(ISBLANK(D130)),$G$141)</formula>
    </cfRule>
  </conditionalFormatting>
  <conditionalFormatting sqref="D130">
    <cfRule type="expression" dxfId="96" priority="97" stopIfTrue="1">
      <formula>AND(NOT(ISBLANK(D130)),$G$141)</formula>
    </cfRule>
  </conditionalFormatting>
  <conditionalFormatting sqref="D125">
    <cfRule type="expression" dxfId="95" priority="96" stopIfTrue="1">
      <formula>AND(NOT(ISBLANK(D125)),$G$141)</formula>
    </cfRule>
  </conditionalFormatting>
  <conditionalFormatting sqref="L122 L127">
    <cfRule type="expression" dxfId="94" priority="95" stopIfTrue="1">
      <formula>AND(NOT(ISBLANK(L122)),$G$138)</formula>
    </cfRule>
  </conditionalFormatting>
  <conditionalFormatting sqref="L123">
    <cfRule type="expression" dxfId="93" priority="94" stopIfTrue="1">
      <formula>AND(NOT(ISBLANK(L123)),$G$139)</formula>
    </cfRule>
  </conditionalFormatting>
  <conditionalFormatting sqref="L124">
    <cfRule type="expression" dxfId="92" priority="93" stopIfTrue="1">
      <formula>AND(NOT(ISBLANK(L124)),$G$140)</formula>
    </cfRule>
  </conditionalFormatting>
  <conditionalFormatting sqref="L125 L130">
    <cfRule type="expression" dxfId="91" priority="92" stopIfTrue="1">
      <formula>AND(NOT(ISBLANK(L125)),$G$141)</formula>
    </cfRule>
  </conditionalFormatting>
  <conditionalFormatting sqref="L131">
    <cfRule type="expression" dxfId="90" priority="91" stopIfTrue="1">
      <formula>AND(NOT(ISBLANK(L131)),$G$142)</formula>
    </cfRule>
  </conditionalFormatting>
  <conditionalFormatting sqref="L128">
    <cfRule type="expression" dxfId="89" priority="90" stopIfTrue="1">
      <formula>AND(NOT(ISBLANK(L128)),$G$139)</formula>
    </cfRule>
  </conditionalFormatting>
  <conditionalFormatting sqref="L129">
    <cfRule type="expression" dxfId="88" priority="89" stopIfTrue="1">
      <formula>AND(NOT(ISBLANK(L129)),$G$140)</formula>
    </cfRule>
  </conditionalFormatting>
  <conditionalFormatting sqref="L128">
    <cfRule type="expression" dxfId="87" priority="88" stopIfTrue="1">
      <formula>AND(NOT(ISBLANK(L128)),$G$139)</formula>
    </cfRule>
  </conditionalFormatting>
  <conditionalFormatting sqref="L129">
    <cfRule type="expression" dxfId="86" priority="87" stopIfTrue="1">
      <formula>AND(NOT(ISBLANK(L129)),$G$140)</formula>
    </cfRule>
  </conditionalFormatting>
  <conditionalFormatting sqref="L123">
    <cfRule type="expression" dxfId="85" priority="86" stopIfTrue="1">
      <formula>AND(NOT(ISBLANK(L123)),$G$139)</formula>
    </cfRule>
  </conditionalFormatting>
  <conditionalFormatting sqref="L124">
    <cfRule type="expression" dxfId="84" priority="85" stopIfTrue="1">
      <formula>AND(NOT(ISBLANK(L124)),$G$140)</formula>
    </cfRule>
  </conditionalFormatting>
  <conditionalFormatting sqref="T122 T127">
    <cfRule type="expression" dxfId="83" priority="84" stopIfTrue="1">
      <formula>AND(NOT(ISBLANK(T122)),$G$138)</formula>
    </cfRule>
  </conditionalFormatting>
  <conditionalFormatting sqref="T123 T128">
    <cfRule type="expression" dxfId="82" priority="83" stopIfTrue="1">
      <formula>AND(NOT(ISBLANK(T123)),$G$139)</formula>
    </cfRule>
  </conditionalFormatting>
  <conditionalFormatting sqref="T124 T129">
    <cfRule type="expression" dxfId="81" priority="82" stopIfTrue="1">
      <formula>AND(NOT(ISBLANK(T124)),$G$140)</formula>
    </cfRule>
  </conditionalFormatting>
  <conditionalFormatting sqref="T125 T130">
    <cfRule type="expression" dxfId="80" priority="81" stopIfTrue="1">
      <formula>AND(NOT(ISBLANK(T125)),$G$141)</formula>
    </cfRule>
  </conditionalFormatting>
  <conditionalFormatting sqref="T126 T131">
    <cfRule type="expression" dxfId="79" priority="80" stopIfTrue="1">
      <formula>AND(NOT(ISBLANK(T126)),$G$142)</formula>
    </cfRule>
  </conditionalFormatting>
  <conditionalFormatting sqref="L126">
    <cfRule type="expression" dxfId="78" priority="79" stopIfTrue="1">
      <formula>AND(NOT(ISBLANK(L126)),$G$142)</formula>
    </cfRule>
  </conditionalFormatting>
  <conditionalFormatting sqref="H87:I87">
    <cfRule type="expression" dxfId="77" priority="78" stopIfTrue="1">
      <formula>AND(NOT(ISBLANK(H87)),$G$138)</formula>
    </cfRule>
  </conditionalFormatting>
  <conditionalFormatting sqref="H88:I88">
    <cfRule type="expression" dxfId="76" priority="77" stopIfTrue="1">
      <formula>AND(NOT(ISBLANK(H88)),$G$139)</formula>
    </cfRule>
  </conditionalFormatting>
  <conditionalFormatting sqref="H89:I89">
    <cfRule type="expression" dxfId="75" priority="76" stopIfTrue="1">
      <formula>AND(NOT(ISBLANK(H89)),$G$140)</formula>
    </cfRule>
  </conditionalFormatting>
  <conditionalFormatting sqref="H91:I91">
    <cfRule type="expression" dxfId="74" priority="75" stopIfTrue="1">
      <formula>AND(NOT(ISBLANK(H91)),$G$142)</formula>
    </cfRule>
  </conditionalFormatting>
  <conditionalFormatting sqref="H87:I87">
    <cfRule type="expression" dxfId="73" priority="74" stopIfTrue="1">
      <formula>AND(NOT(ISBLANK(H87)),$G$138)</formula>
    </cfRule>
  </conditionalFormatting>
  <conditionalFormatting sqref="H88:I88">
    <cfRule type="expression" dxfId="72" priority="73" stopIfTrue="1">
      <formula>AND(NOT(ISBLANK(H88)),$G$139)</formula>
    </cfRule>
  </conditionalFormatting>
  <conditionalFormatting sqref="H89:I89">
    <cfRule type="expression" dxfId="71" priority="72" stopIfTrue="1">
      <formula>AND(NOT(ISBLANK(H89)),$G$140)</formula>
    </cfRule>
  </conditionalFormatting>
  <conditionalFormatting sqref="H90:I90">
    <cfRule type="expression" dxfId="70" priority="71" stopIfTrue="1">
      <formula>AND(NOT(ISBLANK(H90)),$G$141)</formula>
    </cfRule>
  </conditionalFormatting>
  <conditionalFormatting sqref="H91:I91">
    <cfRule type="expression" dxfId="69" priority="70" stopIfTrue="1">
      <formula>AND(NOT(ISBLANK(H91)),$G$142)</formula>
    </cfRule>
  </conditionalFormatting>
  <conditionalFormatting sqref="H90">
    <cfRule type="expression" dxfId="68" priority="69" stopIfTrue="1">
      <formula>AND(NOT(ISBLANK(H90)),$G$141)</formula>
    </cfRule>
  </conditionalFormatting>
  <conditionalFormatting sqref="I90">
    <cfRule type="expression" dxfId="67" priority="68" stopIfTrue="1">
      <formula>AND(NOT(ISBLANK(I90)),$G$141)</formula>
    </cfRule>
  </conditionalFormatting>
  <conditionalFormatting sqref="L22">
    <cfRule type="expression" dxfId="66" priority="67" stopIfTrue="1">
      <formula>AND(NOT(ISBLANK(L22)),$G$138)</formula>
    </cfRule>
  </conditionalFormatting>
  <conditionalFormatting sqref="L25">
    <cfRule type="expression" dxfId="65" priority="66" stopIfTrue="1">
      <formula>AND(NOT(ISBLANK(L25)),$G$141)</formula>
    </cfRule>
  </conditionalFormatting>
  <conditionalFormatting sqref="L26">
    <cfRule type="expression" dxfId="64" priority="65" stopIfTrue="1">
      <formula>AND(NOT(ISBLANK(L26)),$G$142)</formula>
    </cfRule>
  </conditionalFormatting>
  <conditionalFormatting sqref="L23">
    <cfRule type="expression" dxfId="63" priority="64" stopIfTrue="1">
      <formula>AND(NOT(ISBLANK(L23)),$G$139)</formula>
    </cfRule>
  </conditionalFormatting>
  <conditionalFormatting sqref="L24">
    <cfRule type="expression" dxfId="62" priority="63" stopIfTrue="1">
      <formula>AND(NOT(ISBLANK(L24)),$G$140)</formula>
    </cfRule>
  </conditionalFormatting>
  <conditionalFormatting sqref="H42">
    <cfRule type="expression" dxfId="61" priority="62" stopIfTrue="1">
      <formula>AND(NOT(ISBLANK(H42)),$G$138)</formula>
    </cfRule>
  </conditionalFormatting>
  <conditionalFormatting sqref="H45">
    <cfRule type="expression" dxfId="60" priority="61" stopIfTrue="1">
      <formula>AND(NOT(ISBLANK(H45)),$G$141)</formula>
    </cfRule>
  </conditionalFormatting>
  <conditionalFormatting sqref="H46">
    <cfRule type="expression" dxfId="59" priority="60" stopIfTrue="1">
      <formula>AND(NOT(ISBLANK(H46)),$G$142)</formula>
    </cfRule>
  </conditionalFormatting>
  <conditionalFormatting sqref="H43">
    <cfRule type="expression" dxfId="58" priority="59" stopIfTrue="1">
      <formula>AND(NOT(ISBLANK(H43)),$G$139)</formula>
    </cfRule>
  </conditionalFormatting>
  <conditionalFormatting sqref="H44">
    <cfRule type="expression" dxfId="57" priority="58" stopIfTrue="1">
      <formula>AND(NOT(ISBLANK(H44)),$G$140)</formula>
    </cfRule>
  </conditionalFormatting>
  <conditionalFormatting sqref="P62">
    <cfRule type="expression" dxfId="56" priority="57" stopIfTrue="1">
      <formula>AND(NOT(ISBLANK(P62)),$G$138)</formula>
    </cfRule>
  </conditionalFormatting>
  <conditionalFormatting sqref="P65">
    <cfRule type="expression" dxfId="55" priority="56" stopIfTrue="1">
      <formula>AND(NOT(ISBLANK(P65)),$G$141)</formula>
    </cfRule>
  </conditionalFormatting>
  <conditionalFormatting sqref="P66">
    <cfRule type="expression" dxfId="54" priority="55" stopIfTrue="1">
      <formula>AND(NOT(ISBLANK(P66)),$G$142)</formula>
    </cfRule>
  </conditionalFormatting>
  <conditionalFormatting sqref="P63">
    <cfRule type="expression" dxfId="53" priority="54" stopIfTrue="1">
      <formula>AND(NOT(ISBLANK(P63)),$G$139)</formula>
    </cfRule>
  </conditionalFormatting>
  <conditionalFormatting sqref="P64">
    <cfRule type="expression" dxfId="52" priority="53" stopIfTrue="1">
      <formula>AND(NOT(ISBLANK(P64)),$G$140)</formula>
    </cfRule>
  </conditionalFormatting>
  <conditionalFormatting sqref="P67">
    <cfRule type="expression" dxfId="51" priority="52" stopIfTrue="1">
      <formula>AND(NOT(ISBLANK(P67)),$G$138)</formula>
    </cfRule>
  </conditionalFormatting>
  <conditionalFormatting sqref="P70">
    <cfRule type="expression" dxfId="50" priority="51" stopIfTrue="1">
      <formula>AND(NOT(ISBLANK(P70)),$G$141)</formula>
    </cfRule>
  </conditionalFormatting>
  <conditionalFormatting sqref="P71">
    <cfRule type="expression" dxfId="49" priority="50" stopIfTrue="1">
      <formula>AND(NOT(ISBLANK(P71)),$G$142)</formula>
    </cfRule>
  </conditionalFormatting>
  <conditionalFormatting sqref="P68">
    <cfRule type="expression" dxfId="48" priority="49" stopIfTrue="1">
      <formula>AND(NOT(ISBLANK(P68)),$G$139)</formula>
    </cfRule>
  </conditionalFormatting>
  <conditionalFormatting sqref="P69">
    <cfRule type="expression" dxfId="47" priority="48" stopIfTrue="1">
      <formula>AND(NOT(ISBLANK(P69)),$G$140)</formula>
    </cfRule>
  </conditionalFormatting>
  <conditionalFormatting sqref="L73:M73">
    <cfRule type="expression" dxfId="46" priority="47" stopIfTrue="1">
      <formula>AND(NOT(ISBLANK(L73)),$G$139)</formula>
    </cfRule>
  </conditionalFormatting>
  <conditionalFormatting sqref="L74:M74">
    <cfRule type="expression" dxfId="45" priority="46" stopIfTrue="1">
      <formula>AND(NOT(ISBLANK(L74)),$G$140)</formula>
    </cfRule>
  </conditionalFormatting>
  <conditionalFormatting sqref="E44">
    <cfRule type="expression" dxfId="44" priority="45" stopIfTrue="1">
      <formula>AND(NOT(ISBLANK(E44)),$G$139)</formula>
    </cfRule>
  </conditionalFormatting>
  <conditionalFormatting sqref="D73:E73">
    <cfRule type="expression" dxfId="43" priority="44" stopIfTrue="1">
      <formula>AND(NOT(ISBLANK(D73)),$G$139)</formula>
    </cfRule>
  </conditionalFormatting>
  <conditionalFormatting sqref="D74">
    <cfRule type="expression" dxfId="42" priority="43" stopIfTrue="1">
      <formula>AND(NOT(ISBLANK(D74)),$G$140)</formula>
    </cfRule>
  </conditionalFormatting>
  <conditionalFormatting sqref="D68:E68">
    <cfRule type="expression" dxfId="41" priority="41" stopIfTrue="1">
      <formula>AND(NOT(ISBLANK(D68)),$G$139)</formula>
    </cfRule>
  </conditionalFormatting>
  <conditionalFormatting sqref="D69:E69">
    <cfRule type="expression" dxfId="40" priority="40" stopIfTrue="1">
      <formula>AND(NOT(ISBLANK(D69)),$G$140)</formula>
    </cfRule>
  </conditionalFormatting>
  <conditionalFormatting sqref="E48">
    <cfRule type="expression" dxfId="39" priority="39" stopIfTrue="1">
      <formula>AND(NOT(ISBLANK(E48)),$G$139)</formula>
    </cfRule>
  </conditionalFormatting>
  <conditionalFormatting sqref="E49">
    <cfRule type="expression" dxfId="38" priority="38" stopIfTrue="1">
      <formula>AND(NOT(ISBLANK(E49)),$G$140)</formula>
    </cfRule>
  </conditionalFormatting>
  <conditionalFormatting sqref="T73:U73">
    <cfRule type="expression" dxfId="37" priority="37" stopIfTrue="1">
      <formula>AND(NOT(ISBLANK(T73)),$G$139)</formula>
    </cfRule>
  </conditionalFormatting>
  <conditionalFormatting sqref="T74:U74">
    <cfRule type="expression" dxfId="36" priority="36" stopIfTrue="1">
      <formula>AND(NOT(ISBLANK(T74)),$G$140)</formula>
    </cfRule>
  </conditionalFormatting>
  <conditionalFormatting sqref="E74">
    <cfRule type="expression" dxfId="35" priority="35" stopIfTrue="1">
      <formula>AND(NOT(ISBLANK(E74)),$G$140)</formula>
    </cfRule>
  </conditionalFormatting>
  <conditionalFormatting sqref="T68">
    <cfRule type="expression" dxfId="34" priority="34" stopIfTrue="1">
      <formula>AND(NOT(ISBLANK(T68)),$G$139)</formula>
    </cfRule>
  </conditionalFormatting>
  <conditionalFormatting sqref="T69">
    <cfRule type="expression" dxfId="33" priority="33" stopIfTrue="1">
      <formula>AND(NOT(ISBLANK(T69)),$G$140)</formula>
    </cfRule>
  </conditionalFormatting>
  <conditionalFormatting sqref="U68">
    <cfRule type="expression" dxfId="32" priority="31" stopIfTrue="1">
      <formula>AND(NOT(ISBLANK(U68)),$G$139)</formula>
    </cfRule>
  </conditionalFormatting>
  <conditionalFormatting sqref="U69">
    <cfRule type="expression" dxfId="31" priority="30" stopIfTrue="1">
      <formula>AND(NOT(ISBLANK(U69)),$G$140)</formula>
    </cfRule>
  </conditionalFormatting>
  <conditionalFormatting sqref="L75:M75">
    <cfRule type="expression" dxfId="30" priority="29" stopIfTrue="1">
      <formula>AND(NOT(ISBLANK(L75)),$G$141)</formula>
    </cfRule>
  </conditionalFormatting>
  <conditionalFormatting sqref="T70:U70">
    <cfRule type="expression" dxfId="29" priority="28" stopIfTrue="1">
      <formula>AND(NOT(ISBLANK(T70)),$G$141)</formula>
    </cfRule>
  </conditionalFormatting>
  <conditionalFormatting sqref="D105">
    <cfRule type="expression" dxfId="28" priority="27" stopIfTrue="1">
      <formula>AND(NOT(ISBLANK(D105)),$G$141)</formula>
    </cfRule>
  </conditionalFormatting>
  <conditionalFormatting sqref="D105">
    <cfRule type="expression" dxfId="27" priority="26" stopIfTrue="1">
      <formula>AND(NOT(ISBLANK(D105)),$G$141)</formula>
    </cfRule>
  </conditionalFormatting>
  <conditionalFormatting sqref="L99">
    <cfRule type="expression" dxfId="26" priority="25" stopIfTrue="1">
      <formula>AND(NOT(ISBLANK(L99)),$G$140)</formula>
    </cfRule>
  </conditionalFormatting>
  <conditionalFormatting sqref="T103">
    <cfRule type="expression" dxfId="25" priority="24" stopIfTrue="1">
      <formula>AND(NOT(ISBLANK(T103)),$G$139)</formula>
    </cfRule>
  </conditionalFormatting>
  <conditionalFormatting sqref="T104">
    <cfRule type="expression" dxfId="24" priority="23" stopIfTrue="1">
      <formula>AND(NOT(ISBLANK(T104)),$G$140)</formula>
    </cfRule>
  </conditionalFormatting>
  <conditionalFormatting sqref="E50">
    <cfRule type="expression" dxfId="23" priority="17" stopIfTrue="1">
      <formula>AND(NOT(ISBLANK(E50)),$G$141)</formula>
    </cfRule>
  </conditionalFormatting>
  <conditionalFormatting sqref="D50">
    <cfRule type="expression" dxfId="22" priority="16" stopIfTrue="1">
      <formula>AND(NOT(ISBLANK(D50)),$G$141)</formula>
    </cfRule>
  </conditionalFormatting>
  <conditionalFormatting sqref="D50">
    <cfRule type="expression" dxfId="21" priority="15" stopIfTrue="1">
      <formula>AND(NOT(ISBLANK(D50)),$G$141)</formula>
    </cfRule>
  </conditionalFormatting>
  <conditionalFormatting sqref="E70">
    <cfRule type="expression" dxfId="20" priority="14" stopIfTrue="1">
      <formula>AND(NOT(ISBLANK(E70)),$G$141)</formula>
    </cfRule>
  </conditionalFormatting>
  <conditionalFormatting sqref="D75">
    <cfRule type="expression" dxfId="19" priority="13" stopIfTrue="1">
      <formula>AND(NOT(ISBLANK(D75)),$G$141)</formula>
    </cfRule>
  </conditionalFormatting>
  <conditionalFormatting sqref="E75">
    <cfRule type="expression" dxfId="18" priority="12" stopIfTrue="1">
      <formula>AND(NOT(ISBLANK(E75)),$G$141)</formula>
    </cfRule>
  </conditionalFormatting>
  <conditionalFormatting sqref="D75">
    <cfRule type="expression" dxfId="17" priority="11" stopIfTrue="1">
      <formula>AND(NOT(ISBLANK(D75)),$G$141)</formula>
    </cfRule>
  </conditionalFormatting>
  <conditionalFormatting sqref="E75">
    <cfRule type="expression" dxfId="16" priority="10" stopIfTrue="1">
      <formula>AND(NOT(ISBLANK(E75)),$G$141)</formula>
    </cfRule>
  </conditionalFormatting>
  <conditionalFormatting sqref="D70">
    <cfRule type="expression" dxfId="15" priority="9" stopIfTrue="1">
      <formula>AND(NOT(ISBLANK(D70)),$G$141)</formula>
    </cfRule>
  </conditionalFormatting>
  <conditionalFormatting sqref="D70">
    <cfRule type="expression" dxfId="14" priority="8" stopIfTrue="1">
      <formula>AND(NOT(ISBLANK(D70)),$G$141)</formula>
    </cfRule>
  </conditionalFormatting>
  <conditionalFormatting sqref="T48">
    <cfRule type="expression" dxfId="13" priority="7" stopIfTrue="1">
      <formula>AND(NOT(ISBLANK(T48)),$G$139)</formula>
    </cfRule>
  </conditionalFormatting>
  <conditionalFormatting sqref="T49">
    <cfRule type="expression" dxfId="11" priority="6" stopIfTrue="1">
      <formula>AND(NOT(ISBLANK(T49)),$G$140)</formula>
    </cfRule>
  </conditionalFormatting>
  <conditionalFormatting sqref="U48">
    <cfRule type="expression" dxfId="9" priority="5" stopIfTrue="1">
      <formula>AND(NOT(ISBLANK(U48)),$G$139)</formula>
    </cfRule>
  </conditionalFormatting>
  <conditionalFormatting sqref="U49">
    <cfRule type="expression" dxfId="7" priority="4" stopIfTrue="1">
      <formula>AND(NOT(ISBLANK(U49)),$G$140)</formula>
    </cfRule>
  </conditionalFormatting>
  <conditionalFormatting sqref="I50">
    <cfRule type="expression" dxfId="5" priority="3" stopIfTrue="1">
      <formula>AND(NOT(ISBLANK(I50)),$G$141)</formula>
    </cfRule>
  </conditionalFormatting>
  <conditionalFormatting sqref="H50">
    <cfRule type="expression" dxfId="3" priority="2" stopIfTrue="1">
      <formula>AND(NOT(ISBLANK(H50)),$G$141)</formula>
    </cfRule>
  </conditionalFormatting>
  <conditionalFormatting sqref="H50">
    <cfRule type="expression" dxfId="1" priority="1" stopIfTrue="1">
      <formula>AND(NOT(ISBLANK(H50)),$G$141)</formula>
    </cfRule>
  </conditionalFormatting>
  <pageMargins left="0.23622047244094491" right="0.23622047244094491" top="0.74803149606299213" bottom="0.74803149606299213" header="0.31496062992125984" footer="0.31496062992125984"/>
  <pageSetup paperSize="8" scale="67" orientation="portrait" verticalDpi="300" r:id="rId1"/>
  <headerFooter alignWithMargins="0"/>
  <rowBreaks count="1" manualBreakCount="1">
    <brk id="6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N52"/>
  <sheetViews>
    <sheetView topLeftCell="A23" zoomScaleNormal="100" workbookViewId="0">
      <selection activeCell="B35" sqref="B35:H35"/>
    </sheetView>
  </sheetViews>
  <sheetFormatPr defaultRowHeight="12.75" x14ac:dyDescent="0.2"/>
  <cols>
    <col min="1" max="1" width="1.5703125" customWidth="1"/>
    <col min="2" max="2" width="49.28515625" style="37" customWidth="1"/>
    <col min="3" max="3" width="13.7109375" style="38" customWidth="1"/>
    <col min="4" max="4" width="8.7109375" style="38" customWidth="1"/>
    <col min="5" max="5" width="12.28515625" style="38" customWidth="1"/>
    <col min="6" max="6" width="30.42578125" style="38" hidden="1" customWidth="1"/>
    <col min="7" max="7" width="14.7109375" style="38" customWidth="1"/>
    <col min="8" max="8" width="6.140625" style="38" customWidth="1"/>
    <col min="9" max="9" width="14.140625" style="38" customWidth="1"/>
    <col min="10" max="10" width="32.42578125" style="38" hidden="1" customWidth="1"/>
    <col min="11" max="11" width="12.7109375" style="38" customWidth="1"/>
    <col min="12" max="12" width="5.140625" style="38" customWidth="1"/>
    <col min="13" max="13" width="9.28515625" style="38" customWidth="1"/>
    <col min="14" max="14" width="28.5703125" style="38" hidden="1" customWidth="1"/>
    <col min="15" max="15" width="10.7109375" style="38" customWidth="1"/>
    <col min="16" max="16" width="5.140625" style="38" customWidth="1"/>
    <col min="17" max="17" width="9.28515625" style="38" customWidth="1"/>
    <col min="18" max="18" width="27.42578125" style="38" hidden="1" customWidth="1"/>
    <col min="19" max="19" width="1.28515625" customWidth="1"/>
    <col min="20" max="20" width="17" customWidth="1"/>
    <col min="21" max="21" width="24.42578125" customWidth="1"/>
    <col min="22" max="38" width="9.140625" customWidth="1"/>
    <col min="39" max="39" width="19.140625" customWidth="1"/>
  </cols>
  <sheetData>
    <row r="1" spans="2:40" ht="21" x14ac:dyDescent="0.2">
      <c r="B1" s="289" t="s">
        <v>39</v>
      </c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</row>
    <row r="2" spans="2:40" ht="15.75" x14ac:dyDescent="0.2">
      <c r="B2" s="288" t="s">
        <v>196</v>
      </c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U2" s="282" t="s">
        <v>164</v>
      </c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82"/>
      <c r="AH2" s="282"/>
      <c r="AI2" s="282"/>
      <c r="AJ2" s="282"/>
      <c r="AK2" s="282"/>
      <c r="AN2" s="57" t="s">
        <v>106</v>
      </c>
    </row>
    <row r="3" spans="2:40" ht="15.75" hidden="1" x14ac:dyDescent="0.2">
      <c r="B3" s="282" t="s">
        <v>140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64"/>
    </row>
    <row r="4" spans="2:40" ht="15.75" x14ac:dyDescent="0.2">
      <c r="B4" s="282" t="s">
        <v>197</v>
      </c>
      <c r="C4" s="282"/>
      <c r="D4" s="282"/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  <c r="R4" s="282"/>
    </row>
    <row r="5" spans="2:40" ht="15.75" hidden="1" x14ac:dyDescent="0.2">
      <c r="B5" s="282" t="s">
        <v>139</v>
      </c>
      <c r="C5" s="282"/>
      <c r="D5" s="282"/>
      <c r="E5" s="282"/>
      <c r="F5" s="282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</row>
    <row r="6" spans="2:40" ht="15.75" x14ac:dyDescent="0.2"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92"/>
      <c r="R6" s="92"/>
    </row>
    <row r="7" spans="2:40" ht="21" hidden="1" x14ac:dyDescent="0.2">
      <c r="B7" s="287" t="s">
        <v>94</v>
      </c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94"/>
    </row>
    <row r="8" spans="2:40" ht="15.75" x14ac:dyDescent="0.2">
      <c r="B8" s="59"/>
      <c r="C8" s="59"/>
      <c r="D8" s="59"/>
      <c r="E8" s="59"/>
      <c r="F8" s="64"/>
      <c r="G8" s="59"/>
      <c r="H8" s="59"/>
      <c r="I8" s="59"/>
      <c r="J8" s="64"/>
      <c r="K8" s="59"/>
      <c r="L8" s="59"/>
      <c r="M8" s="59"/>
      <c r="N8" s="64"/>
      <c r="O8" s="59"/>
      <c r="P8" s="59"/>
      <c r="Q8" s="59"/>
      <c r="R8" s="64"/>
    </row>
    <row r="9" spans="2:40" ht="15" x14ac:dyDescent="0.2">
      <c r="B9" s="285" t="s">
        <v>40</v>
      </c>
      <c r="C9" s="285" t="s">
        <v>88</v>
      </c>
      <c r="D9" s="285"/>
      <c r="E9" s="285"/>
      <c r="F9" s="285"/>
      <c r="G9" s="290" t="s">
        <v>89</v>
      </c>
      <c r="H9" s="290"/>
      <c r="I9" s="290"/>
      <c r="J9" s="290"/>
      <c r="K9" s="285" t="s">
        <v>41</v>
      </c>
      <c r="L9" s="285"/>
      <c r="M9" s="285"/>
      <c r="N9" s="285"/>
      <c r="O9" s="285" t="s">
        <v>42</v>
      </c>
      <c r="P9" s="285"/>
      <c r="Q9" s="285"/>
      <c r="R9" s="285"/>
      <c r="S9" s="140"/>
    </row>
    <row r="10" spans="2:40" ht="15" x14ac:dyDescent="0.2">
      <c r="B10" s="286"/>
      <c r="C10" s="187" t="s">
        <v>43</v>
      </c>
      <c r="D10" s="187" t="s">
        <v>44</v>
      </c>
      <c r="E10" s="187" t="s">
        <v>50</v>
      </c>
      <c r="F10" s="187" t="s">
        <v>61</v>
      </c>
      <c r="G10" s="187" t="s">
        <v>43</v>
      </c>
      <c r="H10" s="187" t="s">
        <v>44</v>
      </c>
      <c r="I10" s="187" t="s">
        <v>50</v>
      </c>
      <c r="J10" s="187" t="s">
        <v>61</v>
      </c>
      <c r="K10" s="187" t="s">
        <v>43</v>
      </c>
      <c r="L10" s="187" t="s">
        <v>44</v>
      </c>
      <c r="M10" s="187" t="s">
        <v>50</v>
      </c>
      <c r="N10" s="187" t="s">
        <v>61</v>
      </c>
      <c r="O10" s="187" t="s">
        <v>43</v>
      </c>
      <c r="P10" s="187" t="s">
        <v>44</v>
      </c>
      <c r="Q10" s="58" t="s">
        <v>50</v>
      </c>
      <c r="R10" s="58" t="s">
        <v>61</v>
      </c>
      <c r="S10" s="140"/>
      <c r="V10" s="284" t="s">
        <v>52</v>
      </c>
      <c r="W10" s="284"/>
      <c r="X10" s="283" t="s">
        <v>53</v>
      </c>
      <c r="Y10" s="283"/>
      <c r="Z10" s="284" t="s">
        <v>54</v>
      </c>
      <c r="AA10" s="284"/>
      <c r="AB10" s="283" t="s">
        <v>55</v>
      </c>
      <c r="AC10" s="283"/>
      <c r="AD10" s="284" t="s">
        <v>56</v>
      </c>
      <c r="AE10" s="284"/>
      <c r="AF10" s="283" t="s">
        <v>57</v>
      </c>
      <c r="AG10" s="283"/>
      <c r="AH10" s="284" t="s">
        <v>58</v>
      </c>
      <c r="AI10" s="284"/>
      <c r="AJ10" s="283" t="s">
        <v>59</v>
      </c>
      <c r="AK10" s="283"/>
      <c r="AM10" s="93" t="s">
        <v>92</v>
      </c>
    </row>
    <row r="11" spans="2:40" x14ac:dyDescent="0.2">
      <c r="B11" s="204" t="s">
        <v>45</v>
      </c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6"/>
      <c r="Q11" s="186"/>
      <c r="R11" s="185"/>
      <c r="S11" s="140"/>
      <c r="V11" t="s">
        <v>51</v>
      </c>
    </row>
    <row r="12" spans="2:40" ht="15" x14ac:dyDescent="0.2">
      <c r="B12" s="188" t="s">
        <v>15</v>
      </c>
      <c r="C12" s="189">
        <f t="shared" ref="C12:C17" si="0">IF(V12&lt;&gt;"--",V12,W12)</f>
        <v>42679</v>
      </c>
      <c r="D12" s="190" t="str">
        <f>IF(AD12&lt;&gt;"--",AD12,AE12)</f>
        <v>10h</v>
      </c>
      <c r="E12" s="226"/>
      <c r="F12" s="238" t="s">
        <v>162</v>
      </c>
      <c r="G12" s="192">
        <f>IF(X12&lt;&gt;"--",X12,Y12)</f>
        <v>42721</v>
      </c>
      <c r="H12" s="193" t="str">
        <f>IF(AF12&lt;&gt;"--",AF12,AG12)</f>
        <v>10h</v>
      </c>
      <c r="I12" s="199"/>
      <c r="J12" s="244" t="s">
        <v>149</v>
      </c>
      <c r="K12" s="192">
        <f>IF(Z12&lt;&gt;"--",Z12,AA12)</f>
        <v>42739</v>
      </c>
      <c r="L12" s="193" t="str">
        <f>IF(AH12&lt;&gt;"--",AH12,AI12)</f>
        <v>10h</v>
      </c>
      <c r="M12" s="242">
        <v>133</v>
      </c>
      <c r="N12" s="116" t="s">
        <v>149</v>
      </c>
      <c r="O12" s="192">
        <f>IF(AB12&lt;&gt;"--",AB12,AC12)</f>
        <v>42753</v>
      </c>
      <c r="P12" s="193" t="str">
        <f>IF(AJ12&lt;&gt;"--",AJ12,AK12)</f>
        <v>10h</v>
      </c>
      <c r="Q12" s="242">
        <v>133</v>
      </c>
      <c r="R12" s="116" t="s">
        <v>149</v>
      </c>
      <c r="S12" s="140"/>
      <c r="U12" s="57" t="s">
        <v>72</v>
      </c>
      <c r="V12" s="209" t="str">
        <f>IF(NOT(ISERROR(VLOOKUP($U12,Calendário!$D$7:$F$56,3,FALSE))),VLOOKUP($U12,Calendário!$D$7:$F$56,3,FALSE),IF(NOT(ISERROR(VLOOKUP($U12,Calendário!$H$7:$J$56,3,FALSE))),VLOOKUP($U12,Calendário!$H$7:$J$56,3,FALSE),IF(NOT(ISERROR(VLOOKUP($U12,Calendário!$L$7:$N$56,3,FALSE))),VLOOKUP($U12,Calendário!$L$7:$N$56,3,FALSE),IF(NOT(ISERROR(VLOOKUP($U12,Calendário!$P$7:$R$56,3,FALSE))),VLOOKUP($U12,Calendário!$P$7:$R$56,3,FALSE),IF(NOT(ISERROR(VLOOKUP($U12,Calendário!$T$7:$V$56,3,FALSE))),VLOOKUP($U12,Calendário!$T$7:$V$56,3,FALSE),"--")))))</f>
        <v>--</v>
      </c>
      <c r="W12">
        <f>IF(NOT(ISERROR(VLOOKUP($U12,Calendário!$X$7:$Z$51,3,FALSE))),VLOOKUP($U12,Calendário!$X$7:$Z$51,3,FALSE),"--")</f>
        <v>42679</v>
      </c>
      <c r="X12" s="209" t="str">
        <f>IF(NOT(ISERROR(VLOOKUP($U12,Calendário!$D$57:$F$76,3,FALSE))),VLOOKUP($U12,Calendário!$D$57:$F$76,3,FALSE),IF(NOT(ISERROR(VLOOKUP($U12,Calendário!$H$57:$J$76,3,FALSE))),VLOOKUP($U12,Calendário!$H$57:$J$76,3,FALSE),IF(NOT(ISERROR(VLOOKUP($U12,Calendário!$L$57:$N$76,3,FALSE))),VLOOKUP($U12,Calendário!$L$57:$N$76,3,FALSE),IF(NOT(ISERROR(VLOOKUP($U12,Calendário!$P$57:$R$76,3,FALSE))),VLOOKUP($U12,Calendário!$P$57:$R$76,3,FALSE),IF(NOT(ISERROR(VLOOKUP($U12,Calendário!$T$57:$V$76,3,FALSE))),VLOOKUP($U12,Calendário!$T$57:$V$76,3,FALSE),"--")))))</f>
        <v>--</v>
      </c>
      <c r="Y12">
        <f>IF(NOT(ISERROR(VLOOKUP($U12,Calendário!$X$57:$Z$76,3,FALSE))),VLOOKUP($U12,Calendário!$X$57:$Z$76,3,FALSE),"--")</f>
        <v>42721</v>
      </c>
      <c r="Z12" s="209">
        <f>IF(NOT(ISERROR(VLOOKUP($U12,Calendário!$D$87:$F$96,3,FALSE))),VLOOKUP($U12,Calendário!$D$87:$F$96,3,FALSE),IF(NOT(ISERROR(VLOOKUP($U12,Calendário!$H$87:$J$96,3,FALSE))),VLOOKUP($U12,Calendário!$H$87:$J$96,3,FALSE),IF(NOT(ISERROR(VLOOKUP($U12,Calendário!$L$87:$N$96,3,FALSE))),VLOOKUP($U12,Calendário!$L$87:$N$96,3,FALSE),IF(NOT(ISERROR(VLOOKUP($U12,Calendário!$P$87:$R$96,3,FALSE))),VLOOKUP($U12,Calendário!$P$87:$R$96,3,FALSE),IF(NOT(ISERROR(VLOOKUP($U12,Calendário!$T$87:$V$96,3,FALSE))),VLOOKUP($U12,Calendário!$T$87:$V$96,3,FALSE),"--")))))</f>
        <v>42739</v>
      </c>
      <c r="AA12" t="str">
        <f>IF(NOT(ISERROR(VLOOKUP($U12,Calendário!$X$87:$Z$96,3,FALSE))),VLOOKUP($U12,Calendário!$X$87:$Z$96,3,FALSE),"--")</f>
        <v>--</v>
      </c>
      <c r="AB12">
        <f>IF(NOT(ISERROR(VLOOKUP($U12,Calendário!$D$97:$F$106,3,FALSE))),VLOOKUP($U12,Calendário!$D$97:$F$106,3,FALSE),IF(NOT(ISERROR(VLOOKUP($U12,Calendário!$H$97:$J$106,3,FALSE))),VLOOKUP($U12,Calendário!$H$97:$J$106,3,FALSE),IF(NOT(ISERROR(VLOOKUP($U12,Calendário!$L$97:$N$106,3,FALSE))),VLOOKUP($U12,Calendário!$L$97:$N$106,3,FALSE),IF(NOT(ISERROR(VLOOKUP($U12,Calendário!$P$97:$R$106,3,FALSE))),VLOOKUP($U12,Calendário!$P$97:$R$106,3,FALSE),IF(NOT(ISERROR(VLOOKUP($U12,Calendário!$T$97:$V$106,3,FALSE))),VLOOKUP($U12,Calendário!$T$97:$V$106,3,FALSE),"--")))))</f>
        <v>42753</v>
      </c>
      <c r="AC12" t="str">
        <f>IF(NOT(ISERROR(VLOOKUP($U12,Calendário!$X$97:$Z$106,3,FALSE))),VLOOKUP($U12,Calendário!$X$97:$Z$106,3,FALSE),"--")</f>
        <v>--</v>
      </c>
      <c r="AD12" s="209" t="str">
        <f>IF(NOT(ISERROR(VLOOKUP($U12,Calendário!$D$7:$F$56,2,FALSE))),VLOOKUP($U12,Calendário!$D$7:$F$56,2,FALSE),IF(NOT(ISERROR(VLOOKUP($U12,Calendário!$H$7:$J$56,2,FALSE))),VLOOKUP($U12,Calendário!$H$7:$J$56,2,FALSE),IF(NOT(ISERROR(VLOOKUP($U12,Calendário!$L$7:$N$56,2,FALSE))),VLOOKUP($U12,Calendário!$L$7:$N$56,2,FALSE),IF(NOT(ISERROR(VLOOKUP($U12,Calendário!$P$7:$R$56,2,FALSE))),VLOOKUP($U12,Calendário!$P$7:$R$56,2,FALSE),IF(NOT(ISERROR(VLOOKUP($U12,Calendário!$T$7:$V$56,2,FALSE))),VLOOKUP($U12,Calendário!$T$7:$V$56,2,FALSE),"--")))))</f>
        <v>--</v>
      </c>
      <c r="AE12" t="str">
        <f>IF(NOT(ISERROR(VLOOKUP($U12,Calendário!$X$7:$Z$51,2,FALSE))),VLOOKUP($U12,Calendário!$X$7:$Z$51,2,FALSE),"--")</f>
        <v>10h</v>
      </c>
      <c r="AF12" t="str">
        <f>IF(NOT(ISERROR(VLOOKUP($U12,Calendário!$D$57:$F$76,2,FALSE))),VLOOKUP($U12,Calendário!$D$57:$F$76,2,FALSE),IF(NOT(ISERROR(VLOOKUP($U12,Calendário!$H$57:$J$76,2,FALSE))),VLOOKUP($U12,Calendário!$H$57:$J$76,2,FALSE),IF(NOT(ISERROR(VLOOKUP($U12,Calendário!$L$57:$N$76,2,FALSE))),VLOOKUP($U12,Calendário!$L$57:$N$76,2,FALSE),IF(NOT(ISERROR(VLOOKUP($U12,Calendário!$P$57:$R$76,2,FALSE))),VLOOKUP($U12,Calendário!$P$57:$R$76,2,FALSE),IF(NOT(ISERROR(VLOOKUP($U12,Calendário!$T$57:$V$76,2,FALSE))),VLOOKUP($U12,Calendário!$T$57:$V$76,2,FALSE),"--")))))</f>
        <v>--</v>
      </c>
      <c r="AG12" t="str">
        <f>IF(NOT(ISERROR(VLOOKUP($U12,Calendário!$X$57:$Z$76,2,FALSE))),VLOOKUP($U12,Calendário!$X$57:$Z$76,2,FALSE),"--")</f>
        <v>10h</v>
      </c>
      <c r="AH12" t="str">
        <f>IF(NOT(ISERROR(VLOOKUP($U12,Calendário!$D$87:$F$96,2,FALSE))),VLOOKUP($U12,Calendário!$D$87:$F$96,2,FALSE),IF(NOT(ISERROR(VLOOKUP($U12,Calendário!$H$87:$J$96,2,FALSE))),VLOOKUP($U12,Calendário!$H$87:$J$96,2,FALSE),IF(NOT(ISERROR(VLOOKUP($U12,Calendário!$L$87:$N$96,2,FALSE))),VLOOKUP($U12,Calendário!$L$87:$N$96,2,FALSE),IF(NOT(ISERROR(VLOOKUP($U12,Calendário!$P$87:$R$96,2,FALSE))),VLOOKUP($U12,Calendário!$P$87:$R$96,2,FALSE),IF(NOT(ISERROR(VLOOKUP($U12,Calendário!$T$87:$V$96,2,FALSE))),VLOOKUP($U12,Calendário!$T$87:$V$96,2,FALSE),"--")))))</f>
        <v>10h</v>
      </c>
      <c r="AI12" t="str">
        <f>IF(NOT(ISERROR(VLOOKUP($U12,Calendário!$X$87:$Z$96,2,FALSE))),VLOOKUP($U12,Calendário!$X$87:$Z$96,2,FALSE),"--")</f>
        <v>--</v>
      </c>
      <c r="AJ12" t="str">
        <f>IF(NOT(ISERROR(VLOOKUP($U12,Calendário!$D$97:$F$106,2,FALSE))),VLOOKUP($U12,Calendário!$D$97:$F$106,2,FALSE),IF(NOT(ISERROR(VLOOKUP($U12,Calendário!$H$97:$J$106,2,FALSE))),VLOOKUP($U12,Calendário!$H$97:$J$106,2,FALSE),IF(NOT(ISERROR(VLOOKUP($U12,Calendário!$L$97:$N$106,2,FALSE))),VLOOKUP($U12,Calendário!$L$97:$N$106,2,FALSE),IF(NOT(ISERROR(VLOOKUP($U12,Calendário!$P$97:$R$106,2,FALSE))),VLOOKUP($U12,Calendário!$P$97:$R$106,2,FALSE),IF(NOT(ISERROR(VLOOKUP($U12,Calendário!$T$97:$V$106,2,FALSE))),VLOOKUP($U12,Calendário!$T$97:$V$106,2,FALSE),"--")))))</f>
        <v>10h</v>
      </c>
      <c r="AK12" t="str">
        <f>IF(NOT(ISERROR(VLOOKUP($U12,Calendário!$X$97:$Z$106,2,FALSE))),VLOOKUP($U12,Calendário!$X$97:$Z$106,2,FALSE),"--")</f>
        <v>--</v>
      </c>
    </row>
    <row r="13" spans="2:40" ht="15" x14ac:dyDescent="0.2">
      <c r="B13" s="182" t="s">
        <v>16</v>
      </c>
      <c r="C13" s="148">
        <f t="shared" si="0"/>
        <v>42683</v>
      </c>
      <c r="D13" s="39" t="str">
        <f t="shared" ref="D13:D17" si="1">IF(AD13&lt;&gt;"--",AD13,AE13)</f>
        <v>14h30</v>
      </c>
      <c r="E13" s="225"/>
      <c r="F13" s="238" t="s">
        <v>150</v>
      </c>
      <c r="G13" s="148">
        <f t="shared" ref="G13:G17" si="2">IF(X13&lt;&gt;"--",X13,Y13)</f>
        <v>42713</v>
      </c>
      <c r="H13" s="39" t="str">
        <f t="shared" ref="H13:H17" si="3">IF(AF13&lt;&gt;"--",AF13,AG13)</f>
        <v>14h</v>
      </c>
      <c r="I13" s="115"/>
      <c r="J13" s="244" t="s">
        <v>107</v>
      </c>
      <c r="K13" s="148">
        <f t="shared" ref="K13:K17" si="4">IF(Z13&lt;&gt;"--",Z13,AA13)</f>
        <v>42746</v>
      </c>
      <c r="L13" s="39" t="str">
        <f t="shared" ref="L13:L17" si="5">IF(AH13&lt;&gt;"--",AH13,AI13)</f>
        <v>10h</v>
      </c>
      <c r="M13" s="238">
        <v>133</v>
      </c>
      <c r="N13" s="116" t="s">
        <v>175</v>
      </c>
      <c r="O13" s="148">
        <f t="shared" ref="O13:O17" si="6">IF(AB13&lt;&gt;"--",AB13,AC13)</f>
        <v>42760</v>
      </c>
      <c r="P13" s="39" t="str">
        <f t="shared" ref="P13:P17" si="7">IF(AJ13&lt;&gt;"--",AJ13,AK13)</f>
        <v>10h</v>
      </c>
      <c r="Q13" s="238">
        <v>133</v>
      </c>
      <c r="R13" s="116" t="s">
        <v>175</v>
      </c>
      <c r="S13" s="140"/>
      <c r="U13" s="57" t="s">
        <v>74</v>
      </c>
      <c r="V13" s="209">
        <f>IF(NOT(ISERROR(VLOOKUP($U13,Calendário!$D$7:$F$56,3,FALSE))),VLOOKUP($U13,Calendário!$D$7:$F$56,3,FALSE),IF(NOT(ISERROR(VLOOKUP($U13,Calendário!$H$7:$J$56,3,FALSE))),VLOOKUP($U13,Calendário!$H$7:$J$56,3,FALSE),IF(NOT(ISERROR(VLOOKUP($U13,Calendário!$L$7:$N$56,3,FALSE))),VLOOKUP($U13,Calendário!$L$7:$N$56,3,FALSE),IF(NOT(ISERROR(VLOOKUP($U13,Calendário!$P$7:$R$56,3,FALSE))),VLOOKUP($U13,Calendário!$P$7:$R$56,3,FALSE),IF(NOT(ISERROR(VLOOKUP($U13,Calendário!$T$7:$V$56,3,FALSE))),VLOOKUP($U13,Calendário!$T$7:$V$56,3,FALSE),"--")))))</f>
        <v>42683</v>
      </c>
      <c r="W13" t="str">
        <f>IF(NOT(ISERROR(VLOOKUP($U13,Calendário!$X$7:$Z$51,3,FALSE))),VLOOKUP($U13,Calendário!$X$7:$Z$51,3,FALSE),"--")</f>
        <v>--</v>
      </c>
      <c r="X13" s="209">
        <f>IF(NOT(ISERROR(VLOOKUP($U13,Calendário!$D$57:$F$76,3,FALSE))),VLOOKUP($U13,Calendário!$D$57:$F$76,3,FALSE),IF(NOT(ISERROR(VLOOKUP($U13,Calendário!$H$57:$J$76,3,FALSE))),VLOOKUP($U13,Calendário!$H$57:$J$76,3,FALSE),IF(NOT(ISERROR(VLOOKUP($U13,Calendário!$L$57:$N$76,3,FALSE))),VLOOKUP($U13,Calendário!$L$57:$N$76,3,FALSE),IF(NOT(ISERROR(VLOOKUP($U13,Calendário!$P$57:$R$76,3,FALSE))),VLOOKUP($U13,Calendário!$P$57:$R$76,3,FALSE),IF(NOT(ISERROR(VLOOKUP($U13,Calendário!$T$57:$V$76,3,FALSE))),VLOOKUP($U13,Calendário!$T$57:$V$76,3,FALSE),"--")))))</f>
        <v>42713</v>
      </c>
      <c r="Y13" t="str">
        <f>IF(NOT(ISERROR(VLOOKUP($U13,Calendário!$X$57:$Z$76,3,FALSE))),VLOOKUP($U13,Calendário!$X$57:$Z$76,3,FALSE),"--")</f>
        <v>--</v>
      </c>
      <c r="Z13" s="209">
        <f>IF(NOT(ISERROR(VLOOKUP($U13,Calendário!$D$87:$F$96,3,FALSE))),VLOOKUP($U13,Calendário!$D$87:$F$96,3,FALSE),IF(NOT(ISERROR(VLOOKUP($U13,Calendário!$H$87:$J$96,3,FALSE))),VLOOKUP($U13,Calendário!$H$87:$J$96,3,FALSE),IF(NOT(ISERROR(VLOOKUP($U13,Calendário!$L$87:$N$96,3,FALSE))),VLOOKUP($U13,Calendário!$L$87:$N$96,3,FALSE),IF(NOT(ISERROR(VLOOKUP($U13,Calendário!$P$87:$R$96,3,FALSE))),VLOOKUP($U13,Calendário!$P$87:$R$96,3,FALSE),IF(NOT(ISERROR(VLOOKUP($U13,Calendário!$T$87:$V$96,3,FALSE))),VLOOKUP($U13,Calendário!$T$87:$V$96,3,FALSE),"--")))))</f>
        <v>42746</v>
      </c>
      <c r="AA13" t="str">
        <f>IF(NOT(ISERROR(VLOOKUP($U13,Calendário!$X$87:$Z$96,3,FALSE))),VLOOKUP($U13,Calendário!$X$87:$Z$96,3,FALSE),"--")</f>
        <v>--</v>
      </c>
      <c r="AB13">
        <f>IF(NOT(ISERROR(VLOOKUP($U13,Calendário!$D$97:$F$106,3,FALSE))),VLOOKUP($U13,Calendário!$D$97:$F$106,3,FALSE),IF(NOT(ISERROR(VLOOKUP($U13,Calendário!$H$97:$J$106,3,FALSE))),VLOOKUP($U13,Calendário!$H$97:$J$106,3,FALSE),IF(NOT(ISERROR(VLOOKUP($U13,Calendário!$L$97:$N$106,3,FALSE))),VLOOKUP($U13,Calendário!$L$97:$N$106,3,FALSE),IF(NOT(ISERROR(VLOOKUP($U13,Calendário!$P$97:$R$106,3,FALSE))),VLOOKUP($U13,Calendário!$P$97:$R$106,3,FALSE),IF(NOT(ISERROR(VLOOKUP($U13,Calendário!$T$97:$V$106,3,FALSE))),VLOOKUP($U13,Calendário!$T$97:$V$106,3,FALSE),"--")))))</f>
        <v>42760</v>
      </c>
      <c r="AC13" t="str">
        <f>IF(NOT(ISERROR(VLOOKUP($U13,Calendário!$X$97:$Z$106,3,FALSE))),VLOOKUP($U13,Calendário!$X$97:$Z$106,3,FALSE),"--")</f>
        <v>--</v>
      </c>
      <c r="AD13" s="209" t="str">
        <f>IF(NOT(ISERROR(VLOOKUP($U13,Calendário!$D$7:$F$56,2,FALSE))),VLOOKUP($U13,Calendário!$D$7:$F$56,2,FALSE),IF(NOT(ISERROR(VLOOKUP($U13,Calendário!$H$7:$J$56,2,FALSE))),VLOOKUP($U13,Calendário!$H$7:$J$56,2,FALSE),IF(NOT(ISERROR(VLOOKUP($U13,Calendário!$L$7:$N$56,2,FALSE))),VLOOKUP($U13,Calendário!$L$7:$N$56,2,FALSE),IF(NOT(ISERROR(VLOOKUP($U13,Calendário!$P$7:$R$56,2,FALSE))),VLOOKUP($U13,Calendário!$P$7:$R$56,2,FALSE),IF(NOT(ISERROR(VLOOKUP($U13,Calendário!$T$7:$V$56,2,FALSE))),VLOOKUP($U13,Calendário!$T$7:$V$56,2,FALSE),"--")))))</f>
        <v>14h30</v>
      </c>
      <c r="AE13" t="str">
        <f>IF(NOT(ISERROR(VLOOKUP($U13,Calendário!$X$7:$Z$51,2,FALSE))),VLOOKUP($U13,Calendário!$X$7:$Z$51,2,FALSE),"--")</f>
        <v>--</v>
      </c>
      <c r="AF13" t="str">
        <f>IF(NOT(ISERROR(VLOOKUP($U13,Calendário!$D$57:$F$76,2,FALSE))),VLOOKUP($U13,Calendário!$D$57:$F$76,2,FALSE),IF(NOT(ISERROR(VLOOKUP($U13,Calendário!$H$57:$J$76,2,FALSE))),VLOOKUP($U13,Calendário!$H$57:$J$76,2,FALSE),IF(NOT(ISERROR(VLOOKUP($U13,Calendário!$L$57:$N$76,2,FALSE))),VLOOKUP($U13,Calendário!$L$57:$N$76,2,FALSE),IF(NOT(ISERROR(VLOOKUP($U13,Calendário!$P$57:$R$76,2,FALSE))),VLOOKUP($U13,Calendário!$P$57:$R$76,2,FALSE),IF(NOT(ISERROR(VLOOKUP($U13,Calendário!$T$57:$V$76,2,FALSE))),VLOOKUP($U13,Calendário!$T$57:$V$76,2,FALSE),"--")))))</f>
        <v>14h</v>
      </c>
      <c r="AG13" t="str">
        <f>IF(NOT(ISERROR(VLOOKUP($U13,Calendário!$X$57:$Z$76,2,FALSE))),VLOOKUP($U13,Calendário!$X$57:$Z$76,2,FALSE),"--")</f>
        <v>--</v>
      </c>
      <c r="AH13" t="str">
        <f>IF(NOT(ISERROR(VLOOKUP($U13,Calendário!$D$87:$F$96,2,FALSE))),VLOOKUP($U13,Calendário!$D$87:$F$96,2,FALSE),IF(NOT(ISERROR(VLOOKUP($U13,Calendário!$H$87:$J$96,2,FALSE))),VLOOKUP($U13,Calendário!$H$87:$J$96,2,FALSE),IF(NOT(ISERROR(VLOOKUP($U13,Calendário!$L$87:$N$96,2,FALSE))),VLOOKUP($U13,Calendário!$L$87:$N$96,2,FALSE),IF(NOT(ISERROR(VLOOKUP($U13,Calendário!$P$87:$R$96,2,FALSE))),VLOOKUP($U13,Calendário!$P$87:$R$96,2,FALSE),IF(NOT(ISERROR(VLOOKUP($U13,Calendário!$T$87:$V$96,2,FALSE))),VLOOKUP($U13,Calendário!$T$87:$V$96,2,FALSE),"--")))))</f>
        <v>10h</v>
      </c>
      <c r="AI13" t="str">
        <f>IF(NOT(ISERROR(VLOOKUP($U13,Calendário!$X$87:$Z$96,2,FALSE))),VLOOKUP($U13,Calendário!$X$87:$Z$96,2,FALSE),"--")</f>
        <v>--</v>
      </c>
      <c r="AJ13" t="str">
        <f>IF(NOT(ISERROR(VLOOKUP($U13,Calendário!$D$97:$F$106,2,FALSE))),VLOOKUP($U13,Calendário!$D$97:$F$106,2,FALSE),IF(NOT(ISERROR(VLOOKUP($U13,Calendário!$H$97:$J$106,2,FALSE))),VLOOKUP($U13,Calendário!$H$97:$J$106,2,FALSE),IF(NOT(ISERROR(VLOOKUP($U13,Calendário!$L$97:$N$106,2,FALSE))),VLOOKUP($U13,Calendário!$L$97:$N$106,2,FALSE),IF(NOT(ISERROR(VLOOKUP($U13,Calendário!$P$97:$R$106,2,FALSE))),VLOOKUP($U13,Calendário!$P$97:$R$106,2,FALSE),IF(NOT(ISERROR(VLOOKUP($U13,Calendário!$T$97:$V$106,2,FALSE))),VLOOKUP($U13,Calendário!$T$97:$V$106,2,FALSE),"--")))))</f>
        <v>10h</v>
      </c>
      <c r="AK13" t="str">
        <f>IF(NOT(ISERROR(VLOOKUP($U13,Calendário!$X$97:$Z$106,2,FALSE))),VLOOKUP($U13,Calendário!$X$97:$Z$106,2,FALSE),"--")</f>
        <v>--</v>
      </c>
    </row>
    <row r="14" spans="2:40" ht="15" x14ac:dyDescent="0.2">
      <c r="B14" s="183" t="s">
        <v>17</v>
      </c>
      <c r="C14" s="148" t="str">
        <f t="shared" si="0"/>
        <v>--</v>
      </c>
      <c r="D14" s="39" t="str">
        <f t="shared" si="1"/>
        <v>--</v>
      </c>
      <c r="E14" s="218"/>
      <c r="F14" s="239" t="s">
        <v>60</v>
      </c>
      <c r="G14" s="148">
        <f t="shared" si="2"/>
        <v>42709</v>
      </c>
      <c r="H14" s="39" t="str">
        <f t="shared" si="3"/>
        <v>14h</v>
      </c>
      <c r="I14" s="110"/>
      <c r="J14" s="245" t="s">
        <v>155</v>
      </c>
      <c r="K14" s="148">
        <f t="shared" si="4"/>
        <v>42748</v>
      </c>
      <c r="L14" s="39" t="str">
        <f t="shared" si="5"/>
        <v>9h30</v>
      </c>
      <c r="M14" s="238">
        <v>2.15</v>
      </c>
      <c r="N14" s="115" t="s">
        <v>172</v>
      </c>
      <c r="O14" s="148">
        <f t="shared" si="6"/>
        <v>42762</v>
      </c>
      <c r="P14" s="39" t="str">
        <f t="shared" si="7"/>
        <v>9h30</v>
      </c>
      <c r="Q14" s="238">
        <v>2.15</v>
      </c>
      <c r="R14" s="115" t="s">
        <v>172</v>
      </c>
      <c r="S14" s="140"/>
      <c r="U14" s="208" t="s">
        <v>189</v>
      </c>
      <c r="V14" s="209" t="str">
        <f>IF(NOT(ISERROR(VLOOKUP($U14,Calendário!$D$7:$F$56,3,FALSE))),VLOOKUP($U14,Calendário!$D$7:$F$56,3,FALSE),IF(NOT(ISERROR(VLOOKUP($U14,Calendário!$H$7:$J$56,3,FALSE))),VLOOKUP($U14,Calendário!$H$7:$J$56,3,FALSE),IF(NOT(ISERROR(VLOOKUP($U14,Calendário!$L$7:$N$56,3,FALSE))),VLOOKUP($U14,Calendário!$L$7:$N$56,3,FALSE),IF(NOT(ISERROR(VLOOKUP($U14,Calendário!$P$7:$R$56,3,FALSE))),VLOOKUP($U14,Calendário!$P$7:$R$56,3,FALSE),IF(NOT(ISERROR(VLOOKUP($U14,Calendário!$T$7:$V$56,3,FALSE))),VLOOKUP($U14,Calendário!$T$7:$V$56,3,FALSE),"--")))))</f>
        <v>--</v>
      </c>
      <c r="W14" t="str">
        <f>IF(NOT(ISERROR(VLOOKUP($U14,Calendário!$X$7:$Z$51,3,FALSE))),VLOOKUP($U14,Calendário!$X$7:$Z$51,3,FALSE),"--")</f>
        <v>--</v>
      </c>
      <c r="X14" s="209">
        <f>IF(NOT(ISERROR(VLOOKUP($U14,Calendário!$D$57:$F$76,3,FALSE))),VLOOKUP($U14,Calendário!$D$57:$F$76,3,FALSE),IF(NOT(ISERROR(VLOOKUP($U14,Calendário!$H$57:$J$76,3,FALSE))),VLOOKUP($U14,Calendário!$H$57:$J$76,3,FALSE),IF(NOT(ISERROR(VLOOKUP($U14,Calendário!$L$57:$N$76,3,FALSE))),VLOOKUP($U14,Calendário!$L$57:$N$76,3,FALSE),IF(NOT(ISERROR(VLOOKUP($U14,Calendário!$P$57:$R$76,3,FALSE))),VLOOKUP($U14,Calendário!$P$57:$R$76,3,FALSE),IF(NOT(ISERROR(VLOOKUP($U14,Calendário!$T$57:$V$76,3,FALSE))),VLOOKUP($U14,Calendário!$T$57:$V$76,3,FALSE),"--")))))</f>
        <v>42709</v>
      </c>
      <c r="Y14" t="str">
        <f>IF(NOT(ISERROR(VLOOKUP($U14,Calendário!$X$57:$Z$76,3,FALSE))),VLOOKUP($U14,Calendário!$X$57:$Z$76,3,FALSE),"--")</f>
        <v>--</v>
      </c>
      <c r="Z14" s="209">
        <f>IF(NOT(ISERROR(VLOOKUP($U14,Calendário!$D$87:$F$96,3,FALSE))),VLOOKUP($U14,Calendário!$D$87:$F$96,3,FALSE),IF(NOT(ISERROR(VLOOKUP($U14,Calendário!$H$87:$J$96,3,FALSE))),VLOOKUP($U14,Calendário!$H$87:$J$96,3,FALSE),IF(NOT(ISERROR(VLOOKUP($U14,Calendário!$L$87:$N$96,3,FALSE))),VLOOKUP($U14,Calendário!$L$87:$N$96,3,FALSE),IF(NOT(ISERROR(VLOOKUP($U14,Calendário!$P$87:$R$96,3,FALSE))),VLOOKUP($U14,Calendário!$P$87:$R$96,3,FALSE),IF(NOT(ISERROR(VLOOKUP($U14,Calendário!$T$87:$V$96,3,FALSE))),VLOOKUP($U14,Calendário!$T$87:$V$96,3,FALSE),"--")))))</f>
        <v>42748</v>
      </c>
      <c r="AA14" t="str">
        <f>IF(NOT(ISERROR(VLOOKUP($U14,Calendário!$X$87:$Z$96,3,FALSE))),VLOOKUP($U14,Calendário!$X$87:$Z$96,3,FALSE),"--")</f>
        <v>--</v>
      </c>
      <c r="AB14">
        <f>IF(NOT(ISERROR(VLOOKUP($U14,Calendário!$D$97:$F$106,3,FALSE))),VLOOKUP($U14,Calendário!$D$97:$F$106,3,FALSE),IF(NOT(ISERROR(VLOOKUP($U14,Calendário!$H$97:$J$106,3,FALSE))),VLOOKUP($U14,Calendário!$H$97:$J$106,3,FALSE),IF(NOT(ISERROR(VLOOKUP($U14,Calendário!$L$97:$N$106,3,FALSE))),VLOOKUP($U14,Calendário!$L$97:$N$106,3,FALSE),IF(NOT(ISERROR(VLOOKUP($U14,Calendário!$P$97:$R$106,3,FALSE))),VLOOKUP($U14,Calendário!$P$97:$R$106,3,FALSE),IF(NOT(ISERROR(VLOOKUP($U14,Calendário!$T$97:$V$106,3,FALSE))),VLOOKUP($U14,Calendário!$T$97:$V$106,3,FALSE),"--")))))</f>
        <v>42762</v>
      </c>
      <c r="AC14" t="str">
        <f>IF(NOT(ISERROR(VLOOKUP($U14,Calendário!$X$97:$Z$106,3,FALSE))),VLOOKUP($U14,Calendário!$X$97:$Z$106,3,FALSE),"--")</f>
        <v>--</v>
      </c>
      <c r="AD14" s="209" t="str">
        <f>IF(NOT(ISERROR(VLOOKUP($U14,Calendário!$D$7:$F$56,2,FALSE))),VLOOKUP($U14,Calendário!$D$7:$F$56,2,FALSE),IF(NOT(ISERROR(VLOOKUP($U14,Calendário!$H$7:$J$56,2,FALSE))),VLOOKUP($U14,Calendário!$H$7:$J$56,2,FALSE),IF(NOT(ISERROR(VLOOKUP($U14,Calendário!$L$7:$N$56,2,FALSE))),VLOOKUP($U14,Calendário!$L$7:$N$56,2,FALSE),IF(NOT(ISERROR(VLOOKUP($U14,Calendário!$P$7:$R$56,2,FALSE))),VLOOKUP($U14,Calendário!$P$7:$R$56,2,FALSE),IF(NOT(ISERROR(VLOOKUP($U14,Calendário!$T$7:$V$56,2,FALSE))),VLOOKUP($U14,Calendário!$T$7:$V$56,2,FALSE),"--")))))</f>
        <v>--</v>
      </c>
      <c r="AE14" t="str">
        <f>IF(NOT(ISERROR(VLOOKUP($U14,Calendário!$X$7:$Z$51,2,FALSE))),VLOOKUP($U14,Calendário!$X$7:$Z$51,2,FALSE),"--")</f>
        <v>--</v>
      </c>
      <c r="AF14" t="str">
        <f>IF(NOT(ISERROR(VLOOKUP($U14,Calendário!$D$57:$F$76,2,FALSE))),VLOOKUP($U14,Calendário!$D$57:$F$76,2,FALSE),IF(NOT(ISERROR(VLOOKUP($U14,Calendário!$H$57:$J$76,2,FALSE))),VLOOKUP($U14,Calendário!$H$57:$J$76,2,FALSE),IF(NOT(ISERROR(VLOOKUP($U14,Calendário!$L$57:$N$76,2,FALSE))),VLOOKUP($U14,Calendário!$L$57:$N$76,2,FALSE),IF(NOT(ISERROR(VLOOKUP($U14,Calendário!$P$57:$R$76,2,FALSE))),VLOOKUP($U14,Calendário!$P$57:$R$76,2,FALSE),IF(NOT(ISERROR(VLOOKUP($U14,Calendário!$T$57:$V$76,2,FALSE))),VLOOKUP($U14,Calendário!$T$57:$V$76,2,FALSE),"--")))))</f>
        <v>14h</v>
      </c>
      <c r="AG14" t="str">
        <f>IF(NOT(ISERROR(VLOOKUP($U14,Calendário!$X$57:$Z$76,2,FALSE))),VLOOKUP($U14,Calendário!$X$57:$Z$76,2,FALSE),"--")</f>
        <v>--</v>
      </c>
      <c r="AH14" t="str">
        <f>IF(NOT(ISERROR(VLOOKUP($U14,Calendário!$D$87:$F$96,2,FALSE))),VLOOKUP($U14,Calendário!$D$87:$F$96,2,FALSE),IF(NOT(ISERROR(VLOOKUP($U14,Calendário!$H$87:$J$96,2,FALSE))),VLOOKUP($U14,Calendário!$H$87:$J$96,2,FALSE),IF(NOT(ISERROR(VLOOKUP($U14,Calendário!$L$87:$N$96,2,FALSE))),VLOOKUP($U14,Calendário!$L$87:$N$96,2,FALSE),IF(NOT(ISERROR(VLOOKUP($U14,Calendário!$P$87:$R$96,2,FALSE))),VLOOKUP($U14,Calendário!$P$87:$R$96,2,FALSE),IF(NOT(ISERROR(VLOOKUP($U14,Calendário!$T$87:$V$96,2,FALSE))),VLOOKUP($U14,Calendário!$T$87:$V$96,2,FALSE),"--")))))</f>
        <v>9h30</v>
      </c>
      <c r="AI14" t="str">
        <f>IF(NOT(ISERROR(VLOOKUP($U14,Calendário!$X$87:$Z$96,2,FALSE))),VLOOKUP($U14,Calendário!$X$87:$Z$96,2,FALSE),"--")</f>
        <v>--</v>
      </c>
      <c r="AJ14" t="str">
        <f>IF(NOT(ISERROR(VLOOKUP($U14,Calendário!$D$97:$F$106,2,FALSE))),VLOOKUP($U14,Calendário!$D$97:$F$106,2,FALSE),IF(NOT(ISERROR(VLOOKUP($U14,Calendário!$H$97:$J$106,2,FALSE))),VLOOKUP($U14,Calendário!$H$97:$J$106,2,FALSE),IF(NOT(ISERROR(VLOOKUP($U14,Calendário!$L$97:$N$106,2,FALSE))),VLOOKUP($U14,Calendário!$L$97:$N$106,2,FALSE),IF(NOT(ISERROR(VLOOKUP($U14,Calendário!$P$97:$R$106,2,FALSE))),VLOOKUP($U14,Calendário!$P$97:$R$106,2,FALSE),IF(NOT(ISERROR(VLOOKUP($U14,Calendário!$T$97:$V$106,2,FALSE))),VLOOKUP($U14,Calendário!$T$97:$V$106,2,FALSE),"--")))))</f>
        <v>9h30</v>
      </c>
      <c r="AK14" t="str">
        <f>IF(NOT(ISERROR(VLOOKUP($U14,Calendário!$X$97:$Z$106,2,FALSE))),VLOOKUP($U14,Calendário!$X$97:$Z$106,2,FALSE),"--")</f>
        <v>--</v>
      </c>
      <c r="AM14" s="42"/>
    </row>
    <row r="15" spans="2:40" ht="15" x14ac:dyDescent="0.2">
      <c r="B15" s="147" t="s">
        <v>18</v>
      </c>
      <c r="C15" s="148" t="str">
        <f>CONCATENATE(TEXT(IF(V46&lt;&gt;"--",V46,W46),"d-mmm")," / ",TEXT(IF(V47&lt;&gt;"--",V47,W47),"d-mmm"))</f>
        <v>26-out / 16-nov</v>
      </c>
      <c r="D15" s="39" t="str">
        <f>CONCATENATE(IF(AD46&lt;&gt;"--",AD46,AE46)," / ",IF(AD47&lt;&gt;"--",AD47,AE47))</f>
        <v>11h / 11h</v>
      </c>
      <c r="E15" s="219"/>
      <c r="F15" s="238" t="s">
        <v>163</v>
      </c>
      <c r="G15" s="148">
        <f t="shared" si="2"/>
        <v>42718</v>
      </c>
      <c r="H15" s="39" t="str">
        <f t="shared" si="3"/>
        <v>11h</v>
      </c>
      <c r="I15" s="116"/>
      <c r="J15" s="244" t="s">
        <v>163</v>
      </c>
      <c r="K15" s="148">
        <f t="shared" si="4"/>
        <v>42741</v>
      </c>
      <c r="L15" s="39" t="str">
        <f t="shared" si="5"/>
        <v>10h</v>
      </c>
      <c r="M15" s="238">
        <v>133</v>
      </c>
      <c r="N15" s="116" t="s">
        <v>163</v>
      </c>
      <c r="O15" s="148">
        <f t="shared" si="6"/>
        <v>42755</v>
      </c>
      <c r="P15" s="39" t="str">
        <f t="shared" si="7"/>
        <v>10h</v>
      </c>
      <c r="Q15" s="238">
        <v>133</v>
      </c>
      <c r="R15" s="116" t="s">
        <v>163</v>
      </c>
      <c r="S15" s="140"/>
      <c r="U15" s="57" t="s">
        <v>66</v>
      </c>
      <c r="V15" s="209">
        <f>IF(NOT(ISERROR(VLOOKUP($U15,Calendário!$D$7:$F$56,3,FALSE))),VLOOKUP($U15,Calendário!$D$7:$F$56,3,FALSE),IF(NOT(ISERROR(VLOOKUP($U15,Calendário!$H$7:$J$56,3,FALSE))),VLOOKUP($U15,Calendário!$H$7:$J$56,3,FALSE),IF(NOT(ISERROR(VLOOKUP($U15,Calendário!$L$7:$N$56,3,FALSE))),VLOOKUP($U15,Calendário!$L$7:$N$56,3,FALSE),IF(NOT(ISERROR(VLOOKUP($U15,Calendário!$P$7:$R$56,3,FALSE))),VLOOKUP($U15,Calendário!$P$7:$R$56,3,FALSE),IF(NOT(ISERROR(VLOOKUP($U15,Calendário!$T$7:$V$56,3,FALSE))),VLOOKUP($U15,Calendário!$T$7:$V$56,3,FALSE),"--")))))</f>
        <v>42669</v>
      </c>
      <c r="W15" t="str">
        <f>IF(NOT(ISERROR(VLOOKUP($U15,Calendário!$X$7:$Z$51,3,FALSE))),VLOOKUP($U15,Calendário!$X$7:$Z$51,3,FALSE),"--")</f>
        <v>--</v>
      </c>
      <c r="X15" s="209">
        <f>IF(NOT(ISERROR(VLOOKUP($U15,Calendário!$D$57:$F$76,3,FALSE))),VLOOKUP($U15,Calendário!$D$57:$F$76,3,FALSE),IF(NOT(ISERROR(VLOOKUP($U15,Calendário!$H$57:$J$76,3,FALSE))),VLOOKUP($U15,Calendário!$H$57:$J$76,3,FALSE),IF(NOT(ISERROR(VLOOKUP($U15,Calendário!$L$57:$N$76,3,FALSE))),VLOOKUP($U15,Calendário!$L$57:$N$76,3,FALSE),IF(NOT(ISERROR(VLOOKUP($U15,Calendário!$P$57:$R$76,3,FALSE))),VLOOKUP($U15,Calendário!$P$57:$R$76,3,FALSE),IF(NOT(ISERROR(VLOOKUP($U15,Calendário!$T$57:$V$76,3,FALSE))),VLOOKUP($U15,Calendário!$T$57:$V$76,3,FALSE),"--")))))</f>
        <v>42718</v>
      </c>
      <c r="Y15" t="str">
        <f>IF(NOT(ISERROR(VLOOKUP($U15,Calendário!$X$57:$Z$76,3,FALSE))),VLOOKUP($U15,Calendário!$X$57:$Z$76,3,FALSE),"--")</f>
        <v>--</v>
      </c>
      <c r="Z15" s="209">
        <f>IF(NOT(ISERROR(VLOOKUP($U15,Calendário!$D$87:$F$96,3,FALSE))),VLOOKUP($U15,Calendário!$D$87:$F$96,3,FALSE),IF(NOT(ISERROR(VLOOKUP($U15,Calendário!$H$87:$J$96,3,FALSE))),VLOOKUP($U15,Calendário!$H$87:$J$96,3,FALSE),IF(NOT(ISERROR(VLOOKUP($U15,Calendário!$L$87:$N$96,3,FALSE))),VLOOKUP($U15,Calendário!$L$87:$N$96,3,FALSE),IF(NOT(ISERROR(VLOOKUP($U15,Calendário!$P$87:$R$96,3,FALSE))),VLOOKUP($U15,Calendário!$P$87:$R$96,3,FALSE),IF(NOT(ISERROR(VLOOKUP($U15,Calendário!$T$87:$V$96,3,FALSE))),VLOOKUP($U15,Calendário!$T$87:$V$96,3,FALSE),"--")))))</f>
        <v>42741</v>
      </c>
      <c r="AA15" t="str">
        <f>IF(NOT(ISERROR(VLOOKUP($U15,Calendário!$X$87:$Z$96,3,FALSE))),VLOOKUP($U15,Calendário!$X$87:$Z$96,3,FALSE),"--")</f>
        <v>--</v>
      </c>
      <c r="AB15">
        <f>IF(NOT(ISERROR(VLOOKUP($U15,Calendário!$D$97:$F$106,3,FALSE))),VLOOKUP($U15,Calendário!$D$97:$F$106,3,FALSE),IF(NOT(ISERROR(VLOOKUP($U15,Calendário!$H$97:$J$106,3,FALSE))),VLOOKUP($U15,Calendário!$H$97:$J$106,3,FALSE),IF(NOT(ISERROR(VLOOKUP($U15,Calendário!$L$97:$N$106,3,FALSE))),VLOOKUP($U15,Calendário!$L$97:$N$106,3,FALSE),IF(NOT(ISERROR(VLOOKUP($U15,Calendário!$P$97:$R$106,3,FALSE))),VLOOKUP($U15,Calendário!$P$97:$R$106,3,FALSE),IF(NOT(ISERROR(VLOOKUP($U15,Calendário!$T$97:$V$106,3,FALSE))),VLOOKUP($U15,Calendário!$T$97:$V$106,3,FALSE),"--")))))</f>
        <v>42755</v>
      </c>
      <c r="AC15" t="str">
        <f>IF(NOT(ISERROR(VLOOKUP($U15,Calendário!$X$97:$Z$106,3,FALSE))),VLOOKUP($U15,Calendário!$X$97:$Z$106,3,FALSE),"--")</f>
        <v>--</v>
      </c>
      <c r="AD15" s="209" t="str">
        <f>IF(NOT(ISERROR(VLOOKUP($U15,Calendário!$D$7:$F$56,2,FALSE))),VLOOKUP($U15,Calendário!$D$7:$F$56,2,FALSE),IF(NOT(ISERROR(VLOOKUP($U15,Calendário!$H$7:$J$56,2,FALSE))),VLOOKUP($U15,Calendário!$H$7:$J$56,2,FALSE),IF(NOT(ISERROR(VLOOKUP($U15,Calendário!$L$7:$N$56,2,FALSE))),VLOOKUP($U15,Calendário!$L$7:$N$56,2,FALSE),IF(NOT(ISERROR(VLOOKUP($U15,Calendário!$P$7:$R$56,2,FALSE))),VLOOKUP($U15,Calendário!$P$7:$R$56,2,FALSE),IF(NOT(ISERROR(VLOOKUP($U15,Calendário!$T$7:$V$56,2,FALSE))),VLOOKUP($U15,Calendário!$T$7:$V$56,2,FALSE),"--")))))</f>
        <v>11h</v>
      </c>
      <c r="AE15" t="str">
        <f>IF(NOT(ISERROR(VLOOKUP($U15,Calendário!$X$7:$Z$51,2,FALSE))),VLOOKUP($U15,Calendário!$X$7:$Z$51,2,FALSE),"--")</f>
        <v>--</v>
      </c>
      <c r="AF15" t="str">
        <f>IF(NOT(ISERROR(VLOOKUP($U15,Calendário!$D$57:$F$76,2,FALSE))),VLOOKUP($U15,Calendário!$D$57:$F$76,2,FALSE),IF(NOT(ISERROR(VLOOKUP($U15,Calendário!$H$57:$J$76,2,FALSE))),VLOOKUP($U15,Calendário!$H$57:$J$76,2,FALSE),IF(NOT(ISERROR(VLOOKUP($U15,Calendário!$L$57:$N$76,2,FALSE))),VLOOKUP($U15,Calendário!$L$57:$N$76,2,FALSE),IF(NOT(ISERROR(VLOOKUP($U15,Calendário!$P$57:$R$76,2,FALSE))),VLOOKUP($U15,Calendário!$P$57:$R$76,2,FALSE),IF(NOT(ISERROR(VLOOKUP($U15,Calendário!$T$57:$V$76,2,FALSE))),VLOOKUP($U15,Calendário!$T$57:$V$76,2,FALSE),"--")))))</f>
        <v>11h</v>
      </c>
      <c r="AG15" t="str">
        <f>IF(NOT(ISERROR(VLOOKUP($U15,Calendário!$X$57:$Z$76,2,FALSE))),VLOOKUP($U15,Calendário!$X$57:$Z$76,2,FALSE),"--")</f>
        <v>--</v>
      </c>
      <c r="AH15" t="str">
        <f>IF(NOT(ISERROR(VLOOKUP($U15,Calendário!$D$87:$F$96,2,FALSE))),VLOOKUP($U15,Calendário!$D$87:$F$96,2,FALSE),IF(NOT(ISERROR(VLOOKUP($U15,Calendário!$H$87:$J$96,2,FALSE))),VLOOKUP($U15,Calendário!$H$87:$J$96,2,FALSE),IF(NOT(ISERROR(VLOOKUP($U15,Calendário!$L$87:$N$96,2,FALSE))),VLOOKUP($U15,Calendário!$L$87:$N$96,2,FALSE),IF(NOT(ISERROR(VLOOKUP($U15,Calendário!$P$87:$R$96,2,FALSE))),VLOOKUP($U15,Calendário!$P$87:$R$96,2,FALSE),IF(NOT(ISERROR(VLOOKUP($U15,Calendário!$T$87:$V$96,2,FALSE))),VLOOKUP($U15,Calendário!$T$87:$V$96,2,FALSE),"--")))))</f>
        <v>10h</v>
      </c>
      <c r="AI15" t="str">
        <f>IF(NOT(ISERROR(VLOOKUP($U15,Calendário!$X$87:$Z$96,2,FALSE))),VLOOKUP($U15,Calendário!$X$87:$Z$96,2,FALSE),"--")</f>
        <v>--</v>
      </c>
      <c r="AJ15" t="str">
        <f>IF(NOT(ISERROR(VLOOKUP($U15,Calendário!$D$97:$F$106,2,FALSE))),VLOOKUP($U15,Calendário!$D$97:$F$106,2,FALSE),IF(NOT(ISERROR(VLOOKUP($U15,Calendário!$H$97:$J$106,2,FALSE))),VLOOKUP($U15,Calendário!$H$97:$J$106,2,FALSE),IF(NOT(ISERROR(VLOOKUP($U15,Calendário!$L$97:$N$106,2,FALSE))),VLOOKUP($U15,Calendário!$L$97:$N$106,2,FALSE),IF(NOT(ISERROR(VLOOKUP($U15,Calendário!$P$97:$R$106,2,FALSE))),VLOOKUP($U15,Calendário!$P$97:$R$106,2,FALSE),IF(NOT(ISERROR(VLOOKUP($U15,Calendário!$T$97:$V$106,2,FALSE))),VLOOKUP($U15,Calendário!$T$97:$V$106,2,FALSE),"--")))))</f>
        <v>10h</v>
      </c>
      <c r="AK15" t="str">
        <f>IF(NOT(ISERROR(VLOOKUP($U15,Calendário!$X$97:$Z$106,2,FALSE))),VLOOKUP($U15,Calendário!$X$97:$Z$106,2,FALSE),"--")</f>
        <v>--</v>
      </c>
    </row>
    <row r="16" spans="2:40" ht="15" x14ac:dyDescent="0.2">
      <c r="B16" s="147" t="s">
        <v>19</v>
      </c>
      <c r="C16" s="148" t="str">
        <f t="shared" si="0"/>
        <v>--</v>
      </c>
      <c r="D16" s="39" t="str">
        <f t="shared" si="1"/>
        <v>--</v>
      </c>
      <c r="E16" s="219"/>
      <c r="F16" s="239" t="s">
        <v>60</v>
      </c>
      <c r="G16" s="148">
        <f t="shared" si="2"/>
        <v>42716</v>
      </c>
      <c r="H16" s="39" t="str">
        <f t="shared" si="3"/>
        <v>15h30</v>
      </c>
      <c r="I16" s="115"/>
      <c r="J16" s="245" t="s">
        <v>170</v>
      </c>
      <c r="K16" s="148">
        <f t="shared" si="4"/>
        <v>42744</v>
      </c>
      <c r="L16" s="39" t="str">
        <f t="shared" si="5"/>
        <v>10h</v>
      </c>
      <c r="M16" s="238" t="s">
        <v>173</v>
      </c>
      <c r="N16" s="115" t="s">
        <v>176</v>
      </c>
      <c r="O16" s="148">
        <f t="shared" si="6"/>
        <v>42758</v>
      </c>
      <c r="P16" s="39" t="str">
        <f t="shared" si="7"/>
        <v>10h</v>
      </c>
      <c r="Q16" s="238" t="s">
        <v>173</v>
      </c>
      <c r="R16" s="115" t="s">
        <v>176</v>
      </c>
      <c r="S16" s="140"/>
      <c r="U16" s="57" t="s">
        <v>73</v>
      </c>
      <c r="V16" s="209" t="str">
        <f>IF(NOT(ISERROR(VLOOKUP($U16,Calendário!$D$7:$F$56,3,FALSE))),VLOOKUP($U16,Calendário!$D$7:$F$56,3,FALSE),IF(NOT(ISERROR(VLOOKUP($U16,Calendário!$H$7:$J$56,3,FALSE))),VLOOKUP($U16,Calendário!$H$7:$J$56,3,FALSE),IF(NOT(ISERROR(VLOOKUP($U16,Calendário!$L$7:$N$56,3,FALSE))),VLOOKUP($U16,Calendário!$L$7:$N$56,3,FALSE),IF(NOT(ISERROR(VLOOKUP($U16,Calendário!$P$7:$R$56,3,FALSE))),VLOOKUP($U16,Calendário!$P$7:$R$56,3,FALSE),IF(NOT(ISERROR(VLOOKUP($U16,Calendário!$T$7:$V$56,3,FALSE))),VLOOKUP($U16,Calendário!$T$7:$V$56,3,FALSE),"--")))))</f>
        <v>--</v>
      </c>
      <c r="W16" t="str">
        <f>IF(NOT(ISERROR(VLOOKUP($U16,Calendário!$X$7:$Z$51,3,FALSE))),VLOOKUP($U16,Calendário!$X$7:$Z$51,3,FALSE),"--")</f>
        <v>--</v>
      </c>
      <c r="X16" s="209">
        <f>IF(NOT(ISERROR(VLOOKUP($U16,Calendário!$D$57:$F$76,3,FALSE))),VLOOKUP($U16,Calendário!$D$57:$F$76,3,FALSE),IF(NOT(ISERROR(VLOOKUP($U16,Calendário!$H$57:$J$76,3,FALSE))),VLOOKUP($U16,Calendário!$H$57:$J$76,3,FALSE),IF(NOT(ISERROR(VLOOKUP($U16,Calendário!$L$57:$N$76,3,FALSE))),VLOOKUP($U16,Calendário!$L$57:$N$76,3,FALSE),IF(NOT(ISERROR(VLOOKUP($U16,Calendário!$P$57:$R$76,3,FALSE))),VLOOKUP($U16,Calendário!$P$57:$R$76,3,FALSE),IF(NOT(ISERROR(VLOOKUP($U16,Calendário!$T$57:$V$76,3,FALSE))),VLOOKUP($U16,Calendário!$T$57:$V$76,3,FALSE),"--")))))</f>
        <v>42716</v>
      </c>
      <c r="Y16" t="str">
        <f>IF(NOT(ISERROR(VLOOKUP($U16,Calendário!$X$57:$Z$76,3,FALSE))),VLOOKUP($U16,Calendário!$X$57:$Z$76,3,FALSE),"--")</f>
        <v>--</v>
      </c>
      <c r="Z16" s="209">
        <f>IF(NOT(ISERROR(VLOOKUP($U16,Calendário!$D$87:$F$96,3,FALSE))),VLOOKUP($U16,Calendário!$D$87:$F$96,3,FALSE),IF(NOT(ISERROR(VLOOKUP($U16,Calendário!$H$87:$J$96,3,FALSE))),VLOOKUP($U16,Calendário!$H$87:$J$96,3,FALSE),IF(NOT(ISERROR(VLOOKUP($U16,Calendário!$L$87:$N$96,3,FALSE))),VLOOKUP($U16,Calendário!$L$87:$N$96,3,FALSE),IF(NOT(ISERROR(VLOOKUP($U16,Calendário!$P$87:$R$96,3,FALSE))),VLOOKUP($U16,Calendário!$P$87:$R$96,3,FALSE),IF(NOT(ISERROR(VLOOKUP($U16,Calendário!$T$87:$V$96,3,FALSE))),VLOOKUP($U16,Calendário!$T$87:$V$96,3,FALSE),"--")))))</f>
        <v>42744</v>
      </c>
      <c r="AA16" t="str">
        <f>IF(NOT(ISERROR(VLOOKUP($U16,Calendário!$X$87:$Z$96,3,FALSE))),VLOOKUP($U16,Calendário!$X$87:$Z$96,3,FALSE),"--")</f>
        <v>--</v>
      </c>
      <c r="AB16">
        <f>IF(NOT(ISERROR(VLOOKUP($U16,Calendário!$D$97:$F$106,3,FALSE))),VLOOKUP($U16,Calendário!$D$97:$F$106,3,FALSE),IF(NOT(ISERROR(VLOOKUP($U16,Calendário!$H$97:$J$106,3,FALSE))),VLOOKUP($U16,Calendário!$H$97:$J$106,3,FALSE),IF(NOT(ISERROR(VLOOKUP($U16,Calendário!$L$97:$N$106,3,FALSE))),VLOOKUP($U16,Calendário!$L$97:$N$106,3,FALSE),IF(NOT(ISERROR(VLOOKUP($U16,Calendário!$P$97:$R$106,3,FALSE))),VLOOKUP($U16,Calendário!$P$97:$R$106,3,FALSE),IF(NOT(ISERROR(VLOOKUP($U16,Calendário!$T$97:$V$106,3,FALSE))),VLOOKUP($U16,Calendário!$T$97:$V$106,3,FALSE),"--")))))</f>
        <v>42758</v>
      </c>
      <c r="AC16" t="str">
        <f>IF(NOT(ISERROR(VLOOKUP($U16,Calendário!$X$97:$Z$106,3,FALSE))),VLOOKUP($U16,Calendário!$X$97:$Z$106,3,FALSE),"--")</f>
        <v>--</v>
      </c>
      <c r="AD16" s="209" t="str">
        <f>IF(NOT(ISERROR(VLOOKUP($U16,Calendário!$D$7:$F$56,2,FALSE))),VLOOKUP($U16,Calendário!$D$7:$F$56,2,FALSE),IF(NOT(ISERROR(VLOOKUP($U16,Calendário!$H$7:$J$56,2,FALSE))),VLOOKUP($U16,Calendário!$H$7:$J$56,2,FALSE),IF(NOT(ISERROR(VLOOKUP($U16,Calendário!$L$7:$N$56,2,FALSE))),VLOOKUP($U16,Calendário!$L$7:$N$56,2,FALSE),IF(NOT(ISERROR(VLOOKUP($U16,Calendário!$P$7:$R$56,2,FALSE))),VLOOKUP($U16,Calendário!$P$7:$R$56,2,FALSE),IF(NOT(ISERROR(VLOOKUP($U16,Calendário!$T$7:$V$56,2,FALSE))),VLOOKUP($U16,Calendário!$T$7:$V$56,2,FALSE),"--")))))</f>
        <v>--</v>
      </c>
      <c r="AE16" t="str">
        <f>IF(NOT(ISERROR(VLOOKUP($U16,Calendário!$X$7:$Z$51,2,FALSE))),VLOOKUP($U16,Calendário!$X$7:$Z$51,2,FALSE),"--")</f>
        <v>--</v>
      </c>
      <c r="AF16" t="str">
        <f>IF(NOT(ISERROR(VLOOKUP($U16,Calendário!$D$57:$F$76,2,FALSE))),VLOOKUP($U16,Calendário!$D$57:$F$76,2,FALSE),IF(NOT(ISERROR(VLOOKUP($U16,Calendário!$H$57:$J$76,2,FALSE))),VLOOKUP($U16,Calendário!$H$57:$J$76,2,FALSE),IF(NOT(ISERROR(VLOOKUP($U16,Calendário!$L$57:$N$76,2,FALSE))),VLOOKUP($U16,Calendário!$L$57:$N$76,2,FALSE),IF(NOT(ISERROR(VLOOKUP($U16,Calendário!$P$57:$R$76,2,FALSE))),VLOOKUP($U16,Calendário!$P$57:$R$76,2,FALSE),IF(NOT(ISERROR(VLOOKUP($U16,Calendário!$T$57:$V$76,2,FALSE))),VLOOKUP($U16,Calendário!$T$57:$V$76,2,FALSE),"--")))))</f>
        <v>15h30</v>
      </c>
      <c r="AG16" t="str">
        <f>IF(NOT(ISERROR(VLOOKUP($U16,Calendário!$X$57:$Z$76,2,FALSE))),VLOOKUP($U16,Calendário!$X$57:$Z$76,2,FALSE),"--")</f>
        <v>--</v>
      </c>
      <c r="AH16" t="str">
        <f>IF(NOT(ISERROR(VLOOKUP($U16,Calendário!$D$87:$F$96,2,FALSE))),VLOOKUP($U16,Calendário!$D$87:$F$96,2,FALSE),IF(NOT(ISERROR(VLOOKUP($U16,Calendário!$H$87:$J$96,2,FALSE))),VLOOKUP($U16,Calendário!$H$87:$J$96,2,FALSE),IF(NOT(ISERROR(VLOOKUP($U16,Calendário!$L$87:$N$96,2,FALSE))),VLOOKUP($U16,Calendário!$L$87:$N$96,2,FALSE),IF(NOT(ISERROR(VLOOKUP($U16,Calendário!$P$87:$R$96,2,FALSE))),VLOOKUP($U16,Calendário!$P$87:$R$96,2,FALSE),IF(NOT(ISERROR(VLOOKUP($U16,Calendário!$T$87:$V$96,2,FALSE))),VLOOKUP($U16,Calendário!$T$87:$V$96,2,FALSE),"--")))))</f>
        <v>10h</v>
      </c>
      <c r="AI16" t="str">
        <f>IF(NOT(ISERROR(VLOOKUP($U16,Calendário!$X$87:$Z$96,2,FALSE))),VLOOKUP($U16,Calendário!$X$87:$Z$96,2,FALSE),"--")</f>
        <v>--</v>
      </c>
      <c r="AJ16" t="str">
        <f>IF(NOT(ISERROR(VLOOKUP($U16,Calendário!$D$97:$F$106,2,FALSE))),VLOOKUP($U16,Calendário!$D$97:$F$106,2,FALSE),IF(NOT(ISERROR(VLOOKUP($U16,Calendário!$H$97:$J$106,2,FALSE))),VLOOKUP($U16,Calendário!$H$97:$J$106,2,FALSE),IF(NOT(ISERROR(VLOOKUP($U16,Calendário!$L$97:$N$106,2,FALSE))),VLOOKUP($U16,Calendário!$L$97:$N$106,2,FALSE),IF(NOT(ISERROR(VLOOKUP($U16,Calendário!$P$97:$R$106,2,FALSE))),VLOOKUP($U16,Calendário!$P$97:$R$106,2,FALSE),IF(NOT(ISERROR(VLOOKUP($U16,Calendário!$T$97:$V$106,2,FALSE))),VLOOKUP($U16,Calendário!$T$97:$V$106,2,FALSE),"--")))))</f>
        <v>10h</v>
      </c>
      <c r="AK16" t="str">
        <f>IF(NOT(ISERROR(VLOOKUP($U16,Calendário!$X$97:$Z$106,2,FALSE))),VLOOKUP($U16,Calendário!$X$97:$Z$106,2,FALSE),"--")</f>
        <v>--</v>
      </c>
    </row>
    <row r="17" spans="2:37" ht="15" x14ac:dyDescent="0.2">
      <c r="B17" s="215" t="s">
        <v>20</v>
      </c>
      <c r="C17" s="148" t="str">
        <f t="shared" si="0"/>
        <v>--</v>
      </c>
      <c r="D17" s="39" t="str">
        <f t="shared" si="1"/>
        <v>--</v>
      </c>
      <c r="E17" s="219"/>
      <c r="F17" s="239" t="s">
        <v>60</v>
      </c>
      <c r="G17" s="148" t="str">
        <f t="shared" si="2"/>
        <v>--</v>
      </c>
      <c r="H17" s="39" t="str">
        <f t="shared" si="3"/>
        <v>--</v>
      </c>
      <c r="I17" s="115"/>
      <c r="J17" s="245" t="s">
        <v>60</v>
      </c>
      <c r="K17" s="148">
        <f t="shared" si="4"/>
        <v>42738</v>
      </c>
      <c r="L17" s="39" t="str">
        <f t="shared" si="5"/>
        <v>10h</v>
      </c>
      <c r="M17" s="238">
        <v>139</v>
      </c>
      <c r="N17" s="115" t="s">
        <v>125</v>
      </c>
      <c r="O17" s="148">
        <f t="shared" si="6"/>
        <v>42751</v>
      </c>
      <c r="P17" s="39" t="str">
        <f t="shared" si="7"/>
        <v>10h</v>
      </c>
      <c r="Q17" s="238">
        <v>139</v>
      </c>
      <c r="R17" s="115" t="s">
        <v>125</v>
      </c>
      <c r="S17" s="140"/>
      <c r="U17" s="57" t="s">
        <v>69</v>
      </c>
      <c r="V17" s="209" t="str">
        <f>IF(NOT(ISERROR(VLOOKUP($U17,Calendário!$D$7:$F$56,3,FALSE))),VLOOKUP($U17,Calendário!$D$7:$F$56,3,FALSE),IF(NOT(ISERROR(VLOOKUP($U17,Calendário!$H$7:$J$56,3,FALSE))),VLOOKUP($U17,Calendário!$H$7:$J$56,3,FALSE),IF(NOT(ISERROR(VLOOKUP($U17,Calendário!$L$7:$N$56,3,FALSE))),VLOOKUP($U17,Calendário!$L$7:$N$56,3,FALSE),IF(NOT(ISERROR(VLOOKUP($U17,Calendário!$P$7:$R$56,3,FALSE))),VLOOKUP($U17,Calendário!$P$7:$R$56,3,FALSE),IF(NOT(ISERROR(VLOOKUP($U17,Calendário!$T$7:$V$56,3,FALSE))),VLOOKUP($U17,Calendário!$T$7:$V$56,3,FALSE),"--")))))</f>
        <v>--</v>
      </c>
      <c r="W17" t="str">
        <f>IF(NOT(ISERROR(VLOOKUP($U17,Calendário!$X$7:$Z$51,3,FALSE))),VLOOKUP($U17,Calendário!$X$7:$Z$51,3,FALSE),"--")</f>
        <v>--</v>
      </c>
      <c r="X17" s="209" t="str">
        <f>IF(NOT(ISERROR(VLOOKUP($U17,Calendário!$D$57:$F$76,3,FALSE))),VLOOKUP($U17,Calendário!$D$57:$F$76,3,FALSE),IF(NOT(ISERROR(VLOOKUP($U17,Calendário!$H$57:$J$76,3,FALSE))),VLOOKUP($U17,Calendário!$H$57:$J$76,3,FALSE),IF(NOT(ISERROR(VLOOKUP($U17,Calendário!$L$57:$N$76,3,FALSE))),VLOOKUP($U17,Calendário!$L$57:$N$76,3,FALSE),IF(NOT(ISERROR(VLOOKUP($U17,Calendário!$P$57:$R$76,3,FALSE))),VLOOKUP($U17,Calendário!$P$57:$R$76,3,FALSE),IF(NOT(ISERROR(VLOOKUP($U17,Calendário!$T$57:$V$76,3,FALSE))),VLOOKUP($U17,Calendário!$T$57:$V$76,3,FALSE),"--")))))</f>
        <v>--</v>
      </c>
      <c r="Y17" t="str">
        <f>IF(NOT(ISERROR(VLOOKUP($U17,Calendário!$X$57:$Z$76,3,FALSE))),VLOOKUP($U17,Calendário!$X$57:$Z$76,3,FALSE),"--")</f>
        <v>--</v>
      </c>
      <c r="Z17" s="209">
        <f>IF(NOT(ISERROR(VLOOKUP($U17,Calendário!$D$87:$F$96,3,FALSE))),VLOOKUP($U17,Calendário!$D$87:$F$96,3,FALSE),IF(NOT(ISERROR(VLOOKUP($U17,Calendário!$H$87:$J$96,3,FALSE))),VLOOKUP($U17,Calendário!$H$87:$J$96,3,FALSE),IF(NOT(ISERROR(VLOOKUP($U17,Calendário!$L$87:$N$96,3,FALSE))),VLOOKUP($U17,Calendário!$L$87:$N$96,3,FALSE),IF(NOT(ISERROR(VLOOKUP($U17,Calendário!$P$87:$R$96,3,FALSE))),VLOOKUP($U17,Calendário!$P$87:$R$96,3,FALSE),IF(NOT(ISERROR(VLOOKUP($U17,Calendário!$T$87:$V$96,3,FALSE))),VLOOKUP($U17,Calendário!$T$87:$V$96,3,FALSE),"--")))))</f>
        <v>42738</v>
      </c>
      <c r="AA17" t="str">
        <f>IF(NOT(ISERROR(VLOOKUP($U17,Calendário!$X$87:$Z$96,3,FALSE))),VLOOKUP($U17,Calendário!$X$87:$Z$96,3,FALSE),"--")</f>
        <v>--</v>
      </c>
      <c r="AB17">
        <f>IF(NOT(ISERROR(VLOOKUP($U17,Calendário!$D$97:$F$106,3,FALSE))),VLOOKUP($U17,Calendário!$D$97:$F$106,3,FALSE),IF(NOT(ISERROR(VLOOKUP($U17,Calendário!$H$97:$J$106,3,FALSE))),VLOOKUP($U17,Calendário!$H$97:$J$106,3,FALSE),IF(NOT(ISERROR(VLOOKUP($U17,Calendário!$L$97:$N$106,3,FALSE))),VLOOKUP($U17,Calendário!$L$97:$N$106,3,FALSE),IF(NOT(ISERROR(VLOOKUP($U17,Calendário!$P$97:$R$106,3,FALSE))),VLOOKUP($U17,Calendário!$P$97:$R$106,3,FALSE),IF(NOT(ISERROR(VLOOKUP($U17,Calendário!$T$97:$V$106,3,FALSE))),VLOOKUP($U17,Calendário!$T$97:$V$106,3,FALSE),"--")))))</f>
        <v>42751</v>
      </c>
      <c r="AC17" t="str">
        <f>IF(NOT(ISERROR(VLOOKUP($U17,Calendário!$X$97:$Z$106,3,FALSE))),VLOOKUP($U17,Calendário!$X$97:$Z$106,3,FALSE),"--")</f>
        <v>--</v>
      </c>
      <c r="AD17" s="209" t="str">
        <f>IF(NOT(ISERROR(VLOOKUP($U17,Calendário!$D$7:$F$56,2,FALSE))),VLOOKUP($U17,Calendário!$D$7:$F$56,2,FALSE),IF(NOT(ISERROR(VLOOKUP($U17,Calendário!$H$7:$J$56,2,FALSE))),VLOOKUP($U17,Calendário!$H$7:$J$56,2,FALSE),IF(NOT(ISERROR(VLOOKUP($U17,Calendário!$L$7:$N$56,2,FALSE))),VLOOKUP($U17,Calendário!$L$7:$N$56,2,FALSE),IF(NOT(ISERROR(VLOOKUP($U17,Calendário!$P$7:$R$56,2,FALSE))),VLOOKUP($U17,Calendário!$P$7:$R$56,2,FALSE),IF(NOT(ISERROR(VLOOKUP($U17,Calendário!$T$7:$V$56,2,FALSE))),VLOOKUP($U17,Calendário!$T$7:$V$56,2,FALSE),"--")))))</f>
        <v>--</v>
      </c>
      <c r="AE17" t="str">
        <f>IF(NOT(ISERROR(VLOOKUP($U17,Calendário!$X$7:$Z$51,2,FALSE))),VLOOKUP($U17,Calendário!$X$7:$Z$51,2,FALSE),"--")</f>
        <v>--</v>
      </c>
      <c r="AF17" t="str">
        <f>IF(NOT(ISERROR(VLOOKUP($U17,Calendário!$D$57:$F$76,2,FALSE))),VLOOKUP($U17,Calendário!$D$57:$F$76,2,FALSE),IF(NOT(ISERROR(VLOOKUP($U17,Calendário!$H$57:$J$76,2,FALSE))),VLOOKUP($U17,Calendário!$H$57:$J$76,2,FALSE),IF(NOT(ISERROR(VLOOKUP($U17,Calendário!$L$57:$N$76,2,FALSE))),VLOOKUP($U17,Calendário!$L$57:$N$76,2,FALSE),IF(NOT(ISERROR(VLOOKUP($U17,Calendário!$P$57:$R$76,2,FALSE))),VLOOKUP($U17,Calendário!$P$57:$R$76,2,FALSE),IF(NOT(ISERROR(VLOOKUP($U17,Calendário!$T$57:$V$76,2,FALSE))),VLOOKUP($U17,Calendário!$T$57:$V$76,2,FALSE),"--")))))</f>
        <v>--</v>
      </c>
      <c r="AG17" t="str">
        <f>IF(NOT(ISERROR(VLOOKUP($U17,Calendário!$X$57:$Z$76,2,FALSE))),VLOOKUP($U17,Calendário!$X$57:$Z$76,2,FALSE),"--")</f>
        <v>--</v>
      </c>
      <c r="AH17" t="str">
        <f>IF(NOT(ISERROR(VLOOKUP($U17,Calendário!$D$87:$F$96,2,FALSE))),VLOOKUP($U17,Calendário!$D$87:$F$96,2,FALSE),IF(NOT(ISERROR(VLOOKUP($U17,Calendário!$H$87:$J$96,2,FALSE))),VLOOKUP($U17,Calendário!$H$87:$J$96,2,FALSE),IF(NOT(ISERROR(VLOOKUP($U17,Calendário!$L$87:$N$96,2,FALSE))),VLOOKUP($U17,Calendário!$L$87:$N$96,2,FALSE),IF(NOT(ISERROR(VLOOKUP($U17,Calendário!$P$87:$R$96,2,FALSE))),VLOOKUP($U17,Calendário!$P$87:$R$96,2,FALSE),IF(NOT(ISERROR(VLOOKUP($U17,Calendário!$T$87:$V$96,2,FALSE))),VLOOKUP($U17,Calendário!$T$87:$V$96,2,FALSE),"--")))))</f>
        <v>10h</v>
      </c>
      <c r="AI17" t="str">
        <f>IF(NOT(ISERROR(VLOOKUP($U17,Calendário!$X$87:$Z$96,2,FALSE))),VLOOKUP($U17,Calendário!$X$87:$Z$96,2,FALSE),"--")</f>
        <v>--</v>
      </c>
      <c r="AJ17" t="str">
        <f>IF(NOT(ISERROR(VLOOKUP($U17,Calendário!$D$97:$F$106,2,FALSE))),VLOOKUP($U17,Calendário!$D$97:$F$106,2,FALSE),IF(NOT(ISERROR(VLOOKUP($U17,Calendário!$H$97:$J$106,2,FALSE))),VLOOKUP($U17,Calendário!$H$97:$J$106,2,FALSE),IF(NOT(ISERROR(VLOOKUP($U17,Calendário!$L$97:$N$106,2,FALSE))),VLOOKUP($U17,Calendário!$L$97:$N$106,2,FALSE),IF(NOT(ISERROR(VLOOKUP($U17,Calendário!$P$97:$R$106,2,FALSE))),VLOOKUP($U17,Calendário!$P$97:$R$106,2,FALSE),IF(NOT(ISERROR(VLOOKUP($U17,Calendário!$T$97:$V$106,2,FALSE))),VLOOKUP($U17,Calendário!$T$97:$V$106,2,FALSE),"--")))))</f>
        <v>10h</v>
      </c>
      <c r="AK17" t="str">
        <f>IF(NOT(ISERROR(VLOOKUP($U17,Calendário!$X$97:$Z$106,2,FALSE))),VLOOKUP($U17,Calendário!$X$97:$Z$106,2,FALSE),"--")</f>
        <v>--</v>
      </c>
    </row>
    <row r="18" spans="2:37" ht="15" hidden="1" customHeight="1" x14ac:dyDescent="0.2">
      <c r="B18" s="194"/>
      <c r="C18" s="195" t="str">
        <f t="shared" ref="C18" si="8">IF(V18&lt;&gt;"--",V18,W18)</f>
        <v>--</v>
      </c>
      <c r="D18" s="196" t="str">
        <f t="shared" ref="D18" si="9">IF(AD18&lt;&gt;"--",AD18,AE18)</f>
        <v>--</v>
      </c>
      <c r="E18" s="222"/>
      <c r="F18" s="240"/>
      <c r="G18" s="195" t="str">
        <f t="shared" ref="G18" si="10">IF(X18&lt;&gt;"--",X18,Y18)</f>
        <v>--</v>
      </c>
      <c r="H18" s="196" t="str">
        <f t="shared" ref="H18" si="11">IF(AF18&lt;&gt;"--",AF18,AG18)</f>
        <v>--</v>
      </c>
      <c r="I18" s="227"/>
      <c r="J18" s="246"/>
      <c r="K18" s="195">
        <f>IF(Z46&lt;&gt;"--",Z46,AA46)</f>
        <v>42741</v>
      </c>
      <c r="L18" s="196" t="str">
        <f>IF(AH46&lt;&gt;"--",AH46,AI46)</f>
        <v>10h</v>
      </c>
      <c r="M18" s="240"/>
      <c r="N18" s="227"/>
      <c r="O18" s="195">
        <f>IF(AB46&lt;&gt;"--",AB46,AC46)</f>
        <v>42755</v>
      </c>
      <c r="P18" s="196" t="str">
        <f>IF(AJ46&lt;&gt;"--",AJ46,AK46)</f>
        <v>10h</v>
      </c>
      <c r="Q18" s="246"/>
      <c r="R18" s="227"/>
      <c r="S18" s="140"/>
      <c r="V18" s="209" t="str">
        <f>IF(NOT(ISERROR(VLOOKUP($U18,Calendário!$D$7:$F$56,3,FALSE))),VLOOKUP($U18,Calendário!$D$7:$F$56,3,FALSE),IF(NOT(ISERROR(VLOOKUP($U18,Calendário!$H$7:$J$56,3,FALSE))),VLOOKUP($U18,Calendário!$H$7:$J$56,3,FALSE),IF(NOT(ISERROR(VLOOKUP($U18,Calendário!$L$7:$N$56,3,FALSE))),VLOOKUP($U18,Calendário!$L$7:$N$56,3,FALSE),IF(NOT(ISERROR(VLOOKUP($U18,Calendário!$P$7:$R$56,3,FALSE))),VLOOKUP($U18,Calendário!$P$7:$R$56,3,FALSE),IF(NOT(ISERROR(VLOOKUP($U18,Calendário!$T$7:$V$56,3,FALSE))),VLOOKUP($U18,Calendário!$T$7:$V$56,3,FALSE),"--")))))</f>
        <v>--</v>
      </c>
      <c r="W18" t="str">
        <f>IF(NOT(ISERROR(VLOOKUP($U18,Calendário!$X$7:$Z$51,3,FALSE))),VLOOKUP($U18,Calendário!$X$7:$Z$51,3,FALSE),"--")</f>
        <v>--</v>
      </c>
      <c r="X18" s="209" t="str">
        <f>IF(NOT(ISERROR(VLOOKUP($U18,Calendário!$D$57:$F$76,3,FALSE))),VLOOKUP($U18,Calendário!$D$57:$F$76,3,FALSE),IF(NOT(ISERROR(VLOOKUP($U18,Calendário!$H$57:$J$76,3,FALSE))),VLOOKUP($U18,Calendário!$H$57:$J$76,3,FALSE),IF(NOT(ISERROR(VLOOKUP($U18,Calendário!$L$57:$N$76,3,FALSE))),VLOOKUP($U18,Calendário!$L$57:$N$76,3,FALSE),IF(NOT(ISERROR(VLOOKUP($U18,Calendário!$P$57:$R$76,3,FALSE))),VLOOKUP($U18,Calendário!$P$57:$R$76,3,FALSE),IF(NOT(ISERROR(VLOOKUP($U18,Calendário!$T$57:$V$76,3,FALSE))),VLOOKUP($U18,Calendário!$T$57:$V$76,3,FALSE),"--")))))</f>
        <v>--</v>
      </c>
      <c r="Y18" t="str">
        <f>IF(NOT(ISERROR(VLOOKUP($U18,Calendário!$X$57:$Z$76,3,FALSE))),VLOOKUP($U18,Calendário!$X$57:$Z$76,3,FALSE),"--")</f>
        <v>--</v>
      </c>
      <c r="Z18" s="209" t="str">
        <f>IF(NOT(ISERROR(VLOOKUP($U18,Calendário!$D$87:$F$96,3,FALSE))),VLOOKUP($U18,Calendário!$D$87:$F$96,3,FALSE),IF(NOT(ISERROR(VLOOKUP($U18,Calendário!$H$87:$J$96,3,FALSE))),VLOOKUP($U18,Calendário!$H$87:$J$96,3,FALSE),IF(NOT(ISERROR(VLOOKUP($U18,Calendário!$L$87:$N$96,3,FALSE))),VLOOKUP($U18,Calendário!$L$87:$N$96,3,FALSE),IF(NOT(ISERROR(VLOOKUP($U18,Calendário!$P$87:$R$96,3,FALSE))),VLOOKUP($U18,Calendário!$P$87:$R$96,3,FALSE),IF(NOT(ISERROR(VLOOKUP($U18,Calendário!$T$87:$V$96,3,FALSE))),VLOOKUP($U18,Calendário!$T$87:$V$96,3,FALSE),"--")))))</f>
        <v>--</v>
      </c>
      <c r="AA18" t="str">
        <f>IF(NOT(ISERROR(VLOOKUP($U18,Calendário!$X$87:$Z$96,3,FALSE))),VLOOKUP($U18,Calendário!$X$87:$Z$96,3,FALSE),"--")</f>
        <v>--</v>
      </c>
      <c r="AB18" t="str">
        <f>IF(NOT(ISERROR(VLOOKUP($U18,Calendário!$D$97:$F$106,3,FALSE))),VLOOKUP($U18,Calendário!$D$97:$F$106,3,FALSE),IF(NOT(ISERROR(VLOOKUP($U18,Calendário!$H$97:$J$106,3,FALSE))),VLOOKUP($U18,Calendário!$H$97:$J$106,3,FALSE),IF(NOT(ISERROR(VLOOKUP($U18,Calendário!$L$97:$N$106,3,FALSE))),VLOOKUP($U18,Calendário!$L$97:$N$106,3,FALSE),IF(NOT(ISERROR(VLOOKUP($U18,Calendário!$P$97:$R$106,3,FALSE))),VLOOKUP($U18,Calendário!$P$97:$R$106,3,FALSE),IF(NOT(ISERROR(VLOOKUP($U18,Calendário!$T$97:$V$106,3,FALSE))),VLOOKUP($U18,Calendário!$T$97:$V$106,3,FALSE),"--")))))</f>
        <v>--</v>
      </c>
      <c r="AC18" t="str">
        <f>IF(NOT(ISERROR(VLOOKUP($U18,Calendário!$X$97:$Z$106,3,FALSE))),VLOOKUP($U18,Calendário!$X$97:$Z$106,3,FALSE),"--")</f>
        <v>--</v>
      </c>
      <c r="AD18" s="209" t="str">
        <f>IF(NOT(ISERROR(VLOOKUP($U18,Calendário!$D$7:$F$56,2,FALSE))),VLOOKUP($U18,Calendário!$D$7:$F$56,2,FALSE),IF(NOT(ISERROR(VLOOKUP($U18,Calendário!$H$7:$J$56,2,FALSE))),VLOOKUP($U18,Calendário!$H$7:$J$56,2,FALSE),IF(NOT(ISERROR(VLOOKUP($U18,Calendário!$L$7:$N$56,2,FALSE))),VLOOKUP($U18,Calendário!$L$7:$N$56,2,FALSE),IF(NOT(ISERROR(VLOOKUP($U18,Calendário!$P$7:$R$56,2,FALSE))),VLOOKUP($U18,Calendário!$P$7:$R$56,2,FALSE),IF(NOT(ISERROR(VLOOKUP($U18,Calendário!$T$7:$V$56,2,FALSE))),VLOOKUP($U18,Calendário!$T$7:$V$56,2,FALSE),"--")))))</f>
        <v>--</v>
      </c>
      <c r="AE18" t="str">
        <f>IF(NOT(ISERROR(VLOOKUP($U18,Calendário!$X$7:$Z$51,2,FALSE))),VLOOKUP($U18,Calendário!$X$7:$Z$51,2,FALSE),"--")</f>
        <v>--</v>
      </c>
      <c r="AF18" t="str">
        <f>IF(NOT(ISERROR(VLOOKUP($U18,Calendário!$D$57:$F$76,2,FALSE))),VLOOKUP($U18,Calendário!$D$57:$F$76,2,FALSE),IF(NOT(ISERROR(VLOOKUP($U18,Calendário!$H$57:$J$76,2,FALSE))),VLOOKUP($U18,Calendário!$H$57:$J$76,2,FALSE),IF(NOT(ISERROR(VLOOKUP($U18,Calendário!$L$57:$N$76,2,FALSE))),VLOOKUP($U18,Calendário!$L$57:$N$76,2,FALSE),IF(NOT(ISERROR(VLOOKUP($U18,Calendário!$P$57:$R$76,2,FALSE))),VLOOKUP($U18,Calendário!$P$57:$R$76,2,FALSE),IF(NOT(ISERROR(VLOOKUP($U18,Calendário!$T$57:$V$76,2,FALSE))),VLOOKUP($U18,Calendário!$T$57:$V$76,2,FALSE),"--")))))</f>
        <v>--</v>
      </c>
      <c r="AG18" t="str">
        <f>IF(NOT(ISERROR(VLOOKUP($U18,Calendário!$X$57:$Z$76,2,FALSE))),VLOOKUP($U18,Calendário!$X$57:$Z$76,2,FALSE),"--")</f>
        <v>--</v>
      </c>
      <c r="AH18" t="str">
        <f>IF(NOT(ISERROR(VLOOKUP($U18,Calendário!$D$87:$F$96,2,FALSE))),VLOOKUP($U18,Calendário!$D$87:$F$96,2,FALSE),IF(NOT(ISERROR(VLOOKUP($U18,Calendário!$H$87:$J$96,2,FALSE))),VLOOKUP($U18,Calendário!$H$87:$J$96,2,FALSE),IF(NOT(ISERROR(VLOOKUP($U18,Calendário!$L$87:$N$96,2,FALSE))),VLOOKUP($U18,Calendário!$L$87:$N$96,2,FALSE),IF(NOT(ISERROR(VLOOKUP($U18,Calendário!$P$87:$R$96,2,FALSE))),VLOOKUP($U18,Calendário!$P$87:$R$96,2,FALSE),IF(NOT(ISERROR(VLOOKUP($U18,Calendário!$T$87:$V$96,2,FALSE))),VLOOKUP($U18,Calendário!$T$87:$V$96,2,FALSE),"--")))))</f>
        <v>--</v>
      </c>
      <c r="AI18" t="str">
        <f>IF(NOT(ISERROR(VLOOKUP($U18,Calendário!$X$87:$Z$96,2,FALSE))),VLOOKUP($U18,Calendário!$X$87:$Z$96,2,FALSE),"--")</f>
        <v>--</v>
      </c>
      <c r="AJ18" t="str">
        <f>IF(NOT(ISERROR(VLOOKUP($U18,Calendário!$D$97:$F$106,2,FALSE))),VLOOKUP($U18,Calendário!$D$97:$F$106,2,FALSE),IF(NOT(ISERROR(VLOOKUP($U18,Calendário!$H$97:$J$106,2,FALSE))),VLOOKUP($U18,Calendário!$H$97:$J$106,2,FALSE),IF(NOT(ISERROR(VLOOKUP($U18,Calendário!$L$97:$N$106,2,FALSE))),VLOOKUP($U18,Calendário!$L$97:$N$106,2,FALSE),IF(NOT(ISERROR(VLOOKUP($U18,Calendário!$P$97:$R$106,2,FALSE))),VLOOKUP($U18,Calendário!$P$97:$R$106,2,FALSE),IF(NOT(ISERROR(VLOOKUP($U18,Calendário!$T$97:$V$106,2,FALSE))),VLOOKUP($U18,Calendário!$T$97:$V$106,2,FALSE),"--")))))</f>
        <v>--</v>
      </c>
      <c r="AK18" t="str">
        <f>IF(NOT(ISERROR(VLOOKUP($U18,Calendário!$X$97:$Z$106,2,FALSE))),VLOOKUP($U18,Calendário!$X$97:$Z$106,2,FALSE),"--")</f>
        <v>--</v>
      </c>
    </row>
    <row r="19" spans="2:37" ht="15" x14ac:dyDescent="0.2">
      <c r="B19" s="204" t="s">
        <v>46</v>
      </c>
      <c r="C19" s="207"/>
      <c r="D19" s="207"/>
      <c r="E19" s="224"/>
      <c r="F19" s="241"/>
      <c r="G19" s="207"/>
      <c r="H19" s="207"/>
      <c r="I19" s="207"/>
      <c r="J19" s="241"/>
      <c r="K19" s="207"/>
      <c r="L19" s="207"/>
      <c r="M19" s="241"/>
      <c r="N19" s="207"/>
      <c r="O19" s="207"/>
      <c r="P19" s="207"/>
      <c r="Q19" s="249"/>
      <c r="R19" s="207"/>
      <c r="S19" s="140"/>
      <c r="V19" s="209" t="str">
        <f>IF(NOT(ISERROR(VLOOKUP($U19,Calendário!$D$7:$F$56,3,FALSE))),VLOOKUP($U19,Calendário!$D$7:$F$56,3,FALSE),IF(NOT(ISERROR(VLOOKUP($U19,Calendário!$H$7:$J$56,3,FALSE))),VLOOKUP($U19,Calendário!$H$7:$J$56,3,FALSE),IF(NOT(ISERROR(VLOOKUP($U19,Calendário!$L$7:$N$56,3,FALSE))),VLOOKUP($U19,Calendário!$L$7:$N$56,3,FALSE),IF(NOT(ISERROR(VLOOKUP($U19,Calendário!$P$7:$R$56,3,FALSE))),VLOOKUP($U19,Calendário!$P$7:$R$56,3,FALSE),IF(NOT(ISERROR(VLOOKUP($U19,Calendário!$T$7:$V$56,3,FALSE))),VLOOKUP($U19,Calendário!$T$7:$V$56,3,FALSE),"--")))))</f>
        <v>--</v>
      </c>
      <c r="W19" t="str">
        <f>IF(NOT(ISERROR(VLOOKUP($U19,Calendário!$X$7:$Z$51,3,FALSE))),VLOOKUP($U19,Calendário!$X$7:$Z$51,3,FALSE),"--")</f>
        <v>--</v>
      </c>
      <c r="X19" s="209" t="str">
        <f>IF(NOT(ISERROR(VLOOKUP($U19,Calendário!$D$57:$F$76,3,FALSE))),VLOOKUP($U19,Calendário!$D$57:$F$76,3,FALSE),IF(NOT(ISERROR(VLOOKUP($U19,Calendário!$H$57:$J$76,3,FALSE))),VLOOKUP($U19,Calendário!$H$57:$J$76,3,FALSE),IF(NOT(ISERROR(VLOOKUP($U19,Calendário!$L$57:$N$76,3,FALSE))),VLOOKUP($U19,Calendário!$L$57:$N$76,3,FALSE),IF(NOT(ISERROR(VLOOKUP($U19,Calendário!$P$57:$R$76,3,FALSE))),VLOOKUP($U19,Calendário!$P$57:$R$76,3,FALSE),IF(NOT(ISERROR(VLOOKUP($U19,Calendário!$T$57:$V$76,3,FALSE))),VLOOKUP($U19,Calendário!$T$57:$V$76,3,FALSE),"--")))))</f>
        <v>--</v>
      </c>
      <c r="Y19" t="str">
        <f>IF(NOT(ISERROR(VLOOKUP($U19,Calendário!$X$57:$Z$76,3,FALSE))),VLOOKUP($U19,Calendário!$X$57:$Z$76,3,FALSE),"--")</f>
        <v>--</v>
      </c>
      <c r="Z19" s="209" t="str">
        <f>IF(NOT(ISERROR(VLOOKUP($U19,Calendário!$D$87:$F$96,3,FALSE))),VLOOKUP($U19,Calendário!$D$87:$F$96,3,FALSE),IF(NOT(ISERROR(VLOOKUP($U19,Calendário!$H$87:$J$96,3,FALSE))),VLOOKUP($U19,Calendário!$H$87:$J$96,3,FALSE),IF(NOT(ISERROR(VLOOKUP($U19,Calendário!$L$87:$N$96,3,FALSE))),VLOOKUP($U19,Calendário!$L$87:$N$96,3,FALSE),IF(NOT(ISERROR(VLOOKUP($U19,Calendário!$P$87:$R$96,3,FALSE))),VLOOKUP($U19,Calendário!$P$87:$R$96,3,FALSE),IF(NOT(ISERROR(VLOOKUP($U19,Calendário!$T$87:$V$96,3,FALSE))),VLOOKUP($U19,Calendário!$T$87:$V$96,3,FALSE),"--")))))</f>
        <v>--</v>
      </c>
      <c r="AA19" t="str">
        <f>IF(NOT(ISERROR(VLOOKUP($U19,Calendário!$X$87:$Z$96,3,FALSE))),VLOOKUP($U19,Calendário!$X$87:$Z$96,3,FALSE),"--")</f>
        <v>--</v>
      </c>
      <c r="AB19" t="str">
        <f>IF(NOT(ISERROR(VLOOKUP($U19,Calendário!$D$97:$F$106,3,FALSE))),VLOOKUP($U19,Calendário!$D$97:$F$106,3,FALSE),IF(NOT(ISERROR(VLOOKUP($U19,Calendário!$H$97:$J$106,3,FALSE))),VLOOKUP($U19,Calendário!$H$97:$J$106,3,FALSE),IF(NOT(ISERROR(VLOOKUP($U19,Calendário!$L$97:$N$106,3,FALSE))),VLOOKUP($U19,Calendário!$L$97:$N$106,3,FALSE),IF(NOT(ISERROR(VLOOKUP($U19,Calendário!$P$97:$R$106,3,FALSE))),VLOOKUP($U19,Calendário!$P$97:$R$106,3,FALSE),IF(NOT(ISERROR(VLOOKUP($U19,Calendário!$T$97:$V$106,3,FALSE))),VLOOKUP($U19,Calendário!$T$97:$V$106,3,FALSE),"--")))))</f>
        <v>--</v>
      </c>
      <c r="AC19" t="str">
        <f>IF(NOT(ISERROR(VLOOKUP($U19,Calendário!$X$97:$Z$106,3,FALSE))),VLOOKUP($U19,Calendário!$X$97:$Z$106,3,FALSE),"--")</f>
        <v>--</v>
      </c>
      <c r="AD19" s="209" t="str">
        <f>IF(NOT(ISERROR(VLOOKUP($U19,Calendário!$D$7:$F$56,2,FALSE))),VLOOKUP($U19,Calendário!$D$7:$F$56,2,FALSE),IF(NOT(ISERROR(VLOOKUP($U19,Calendário!$H$7:$J$56,2,FALSE))),VLOOKUP($U19,Calendário!$H$7:$J$56,2,FALSE),IF(NOT(ISERROR(VLOOKUP($U19,Calendário!$L$7:$N$56,2,FALSE))),VLOOKUP($U19,Calendário!$L$7:$N$56,2,FALSE),IF(NOT(ISERROR(VLOOKUP($U19,Calendário!$P$7:$R$56,2,FALSE))),VLOOKUP($U19,Calendário!$P$7:$R$56,2,FALSE),IF(NOT(ISERROR(VLOOKUP($U19,Calendário!$T$7:$V$56,2,FALSE))),VLOOKUP($U19,Calendário!$T$7:$V$56,2,FALSE),"--")))))</f>
        <v>--</v>
      </c>
      <c r="AE19" t="str">
        <f>IF(NOT(ISERROR(VLOOKUP($U19,Calendário!$X$7:$Z$51,2,FALSE))),VLOOKUP($U19,Calendário!$X$7:$Z$51,2,FALSE),"--")</f>
        <v>--</v>
      </c>
      <c r="AF19" t="str">
        <f>IF(NOT(ISERROR(VLOOKUP($U19,Calendário!$D$57:$F$76,2,FALSE))),VLOOKUP($U19,Calendário!$D$57:$F$76,2,FALSE),IF(NOT(ISERROR(VLOOKUP($U19,Calendário!$H$57:$J$76,2,FALSE))),VLOOKUP($U19,Calendário!$H$57:$J$76,2,FALSE),IF(NOT(ISERROR(VLOOKUP($U19,Calendário!$L$57:$N$76,2,FALSE))),VLOOKUP($U19,Calendário!$L$57:$N$76,2,FALSE),IF(NOT(ISERROR(VLOOKUP($U19,Calendário!$P$57:$R$76,2,FALSE))),VLOOKUP($U19,Calendário!$P$57:$R$76,2,FALSE),IF(NOT(ISERROR(VLOOKUP($U19,Calendário!$T$57:$V$76,2,FALSE))),VLOOKUP($U19,Calendário!$T$57:$V$76,2,FALSE),"--")))))</f>
        <v>--</v>
      </c>
      <c r="AG19" t="str">
        <f>IF(NOT(ISERROR(VLOOKUP($U19,Calendário!$X$57:$Z$76,2,FALSE))),VLOOKUP($U19,Calendário!$X$57:$Z$76,2,FALSE),"--")</f>
        <v>--</v>
      </c>
      <c r="AH19" t="str">
        <f>IF(NOT(ISERROR(VLOOKUP($U19,Calendário!$D$87:$F$96,2,FALSE))),VLOOKUP($U19,Calendário!$D$87:$F$96,2,FALSE),IF(NOT(ISERROR(VLOOKUP($U19,Calendário!$H$87:$J$96,2,FALSE))),VLOOKUP($U19,Calendário!$H$87:$J$96,2,FALSE),IF(NOT(ISERROR(VLOOKUP($U19,Calendário!$L$87:$N$96,2,FALSE))),VLOOKUP($U19,Calendário!$L$87:$N$96,2,FALSE),IF(NOT(ISERROR(VLOOKUP($U19,Calendário!$P$87:$R$96,2,FALSE))),VLOOKUP($U19,Calendário!$P$87:$R$96,2,FALSE),IF(NOT(ISERROR(VLOOKUP($U19,Calendário!$T$87:$V$96,2,FALSE))),VLOOKUP($U19,Calendário!$T$87:$V$96,2,FALSE),"--")))))</f>
        <v>--</v>
      </c>
      <c r="AI19" t="str">
        <f>IF(NOT(ISERROR(VLOOKUP($U19,Calendário!$X$87:$Z$96,2,FALSE))),VLOOKUP($U19,Calendário!$X$87:$Z$96,2,FALSE),"--")</f>
        <v>--</v>
      </c>
      <c r="AJ19" t="str">
        <f>IF(NOT(ISERROR(VLOOKUP($U19,Calendário!$D$97:$F$106,2,FALSE))),VLOOKUP($U19,Calendário!$D$97:$F$106,2,FALSE),IF(NOT(ISERROR(VLOOKUP($U19,Calendário!$H$97:$J$106,2,FALSE))),VLOOKUP($U19,Calendário!$H$97:$J$106,2,FALSE),IF(NOT(ISERROR(VLOOKUP($U19,Calendário!$L$97:$N$106,2,FALSE))),VLOOKUP($U19,Calendário!$L$97:$N$106,2,FALSE),IF(NOT(ISERROR(VLOOKUP($U19,Calendário!$P$97:$R$106,2,FALSE))),VLOOKUP($U19,Calendário!$P$97:$R$106,2,FALSE),IF(NOT(ISERROR(VLOOKUP($U19,Calendário!$T$97:$V$106,2,FALSE))),VLOOKUP($U19,Calendário!$T$97:$V$106,2,FALSE),"--")))))</f>
        <v>--</v>
      </c>
      <c r="AK19" t="str">
        <f>IF(NOT(ISERROR(VLOOKUP($U19,Calendário!$X$97:$Z$106,2,FALSE))),VLOOKUP($U19,Calendário!$X$97:$Z$106,2,FALSE),"--")</f>
        <v>--</v>
      </c>
    </row>
    <row r="20" spans="2:37" ht="15" x14ac:dyDescent="0.2">
      <c r="B20" s="198" t="s">
        <v>21</v>
      </c>
      <c r="C20" s="192">
        <f t="shared" ref="C20:C27" si="12">IF(V20&lt;&gt;"--",V20,W20)</f>
        <v>42676</v>
      </c>
      <c r="D20" s="193" t="str">
        <f t="shared" ref="D20:D29" si="13">IF(AD20&lt;&gt;"--",AD20,AE20)</f>
        <v>14h30</v>
      </c>
      <c r="E20" s="223"/>
      <c r="F20" s="242" t="s">
        <v>109</v>
      </c>
      <c r="G20" s="192">
        <f t="shared" ref="G20:G29" si="14">IF(X20&lt;&gt;"--",X20,Y20)</f>
        <v>42720</v>
      </c>
      <c r="H20" s="193" t="str">
        <f t="shared" ref="H20:H29" si="15">IF(AF20&lt;&gt;"--",AF20,AG20)</f>
        <v>14h30</v>
      </c>
      <c r="I20" s="199"/>
      <c r="J20" s="247" t="s">
        <v>109</v>
      </c>
      <c r="K20" s="192">
        <f t="shared" ref="K20:K26" si="16">IF(Z20&lt;&gt;"--",Z20,AA20)</f>
        <v>42738</v>
      </c>
      <c r="L20" s="193" t="str">
        <f t="shared" ref="L20:L26" si="17">IF(AH20&lt;&gt;"--",AH20,AI20)</f>
        <v>14h</v>
      </c>
      <c r="M20" s="242">
        <v>133</v>
      </c>
      <c r="N20" s="191" t="s">
        <v>109</v>
      </c>
      <c r="O20" s="192">
        <f t="shared" ref="O20:O26" si="18">IF(AB20&lt;&gt;"--",AB20,AC20)</f>
        <v>42751</v>
      </c>
      <c r="P20" s="193" t="str">
        <f t="shared" ref="P20:P26" si="19">IF(AJ20&lt;&gt;"--",AJ20,AK20)</f>
        <v>14h</v>
      </c>
      <c r="Q20" s="242">
        <v>133</v>
      </c>
      <c r="R20" s="191" t="s">
        <v>109</v>
      </c>
      <c r="S20" s="140"/>
      <c r="U20" s="57" t="s">
        <v>62</v>
      </c>
      <c r="V20" s="209">
        <f>IF(NOT(ISERROR(VLOOKUP($U20,Calendário!$D$7:$F$56,3,FALSE))),VLOOKUP($U20,Calendário!$D$7:$F$56,3,FALSE),IF(NOT(ISERROR(VLOOKUP($U20,Calendário!$H$7:$J$56,3,FALSE))),VLOOKUP($U20,Calendário!$H$7:$J$56,3,FALSE),IF(NOT(ISERROR(VLOOKUP($U20,Calendário!$L$7:$N$56,3,FALSE))),VLOOKUP($U20,Calendário!$L$7:$N$56,3,FALSE),IF(NOT(ISERROR(VLOOKUP($U20,Calendário!$P$7:$R$56,3,FALSE))),VLOOKUP($U20,Calendário!$P$7:$R$56,3,FALSE),IF(NOT(ISERROR(VLOOKUP($U20,Calendário!$T$7:$V$56,3,FALSE))),VLOOKUP($U20,Calendário!$T$7:$V$56,3,FALSE),"--")))))</f>
        <v>42676</v>
      </c>
      <c r="W20" t="str">
        <f>IF(NOT(ISERROR(VLOOKUP($U20,Calendário!$X$7:$Z$51,3,FALSE))),VLOOKUP($U20,Calendário!$X$7:$Z$51,3,FALSE),"--")</f>
        <v>--</v>
      </c>
      <c r="X20" s="209">
        <f>IF(NOT(ISERROR(VLOOKUP($U20,Calendário!$D$57:$F$76,3,FALSE))),VLOOKUP($U20,Calendário!$D$57:$F$76,3,FALSE),IF(NOT(ISERROR(VLOOKUP($U20,Calendário!$H$57:$J$76,3,FALSE))),VLOOKUP($U20,Calendário!$H$57:$J$76,3,FALSE),IF(NOT(ISERROR(VLOOKUP($U20,Calendário!$L$57:$N$76,3,FALSE))),VLOOKUP($U20,Calendário!$L$57:$N$76,3,FALSE),IF(NOT(ISERROR(VLOOKUP($U20,Calendário!$P$57:$R$76,3,FALSE))),VLOOKUP($U20,Calendário!$P$57:$R$76,3,FALSE),IF(NOT(ISERROR(VLOOKUP($U20,Calendário!$T$57:$V$76,3,FALSE))),VLOOKUP($U20,Calendário!$T$57:$V$76,3,FALSE),"--")))))</f>
        <v>42720</v>
      </c>
      <c r="Y20" t="str">
        <f>IF(NOT(ISERROR(VLOOKUP($U20,Calendário!$X$57:$Z$76,3,FALSE))),VLOOKUP($U20,Calendário!$X$57:$Z$76,3,FALSE),"--")</f>
        <v>--</v>
      </c>
      <c r="Z20" s="209">
        <f>IF(NOT(ISERROR(VLOOKUP($U20,Calendário!$D$87:$F$96,3,FALSE))),VLOOKUP($U20,Calendário!$D$87:$F$96,3,FALSE),IF(NOT(ISERROR(VLOOKUP($U20,Calendário!$H$87:$J$96,3,FALSE))),VLOOKUP($U20,Calendário!$H$87:$J$96,3,FALSE),IF(NOT(ISERROR(VLOOKUP($U20,Calendário!$L$87:$N$96,3,FALSE))),VLOOKUP($U20,Calendário!$L$87:$N$96,3,FALSE),IF(NOT(ISERROR(VLOOKUP($U20,Calendário!$P$87:$R$96,3,FALSE))),VLOOKUP($U20,Calendário!$P$87:$R$96,3,FALSE),IF(NOT(ISERROR(VLOOKUP($U20,Calendário!$T$87:$V$96,3,FALSE))),VLOOKUP($U20,Calendário!$T$87:$V$96,3,FALSE),"--")))))</f>
        <v>42738</v>
      </c>
      <c r="AA20" t="str">
        <f>IF(NOT(ISERROR(VLOOKUP($U20,Calendário!$X$87:$Z$96,3,FALSE))),VLOOKUP($U20,Calendário!$X$87:$Z$96,3,FALSE),"--")</f>
        <v>--</v>
      </c>
      <c r="AB20">
        <f>IF(NOT(ISERROR(VLOOKUP($U20,Calendário!$D$97:$F$106,3,FALSE))),VLOOKUP($U20,Calendário!$D$97:$F$106,3,FALSE),IF(NOT(ISERROR(VLOOKUP($U20,Calendário!$H$97:$J$106,3,FALSE))),VLOOKUP($U20,Calendário!$H$97:$J$106,3,FALSE),IF(NOT(ISERROR(VLOOKUP($U20,Calendário!$L$97:$N$106,3,FALSE))),VLOOKUP($U20,Calendário!$L$97:$N$106,3,FALSE),IF(NOT(ISERROR(VLOOKUP($U20,Calendário!$P$97:$R$106,3,FALSE))),VLOOKUP($U20,Calendário!$P$97:$R$106,3,FALSE),IF(NOT(ISERROR(VLOOKUP($U20,Calendário!$T$97:$V$106,3,FALSE))),VLOOKUP($U20,Calendário!$T$97:$V$106,3,FALSE),"--")))))</f>
        <v>42751</v>
      </c>
      <c r="AC20" t="str">
        <f>IF(NOT(ISERROR(VLOOKUP($U20,Calendário!$X$97:$Z$106,3,FALSE))),VLOOKUP($U20,Calendário!$X$97:$Z$106,3,FALSE),"--")</f>
        <v>--</v>
      </c>
      <c r="AD20" s="209" t="str">
        <f>IF(NOT(ISERROR(VLOOKUP($U20,Calendário!$D$7:$F$56,2,FALSE))),VLOOKUP($U20,Calendário!$D$7:$F$56,2,FALSE),IF(NOT(ISERROR(VLOOKUP($U20,Calendário!$H$7:$J$56,2,FALSE))),VLOOKUP($U20,Calendário!$H$7:$J$56,2,FALSE),IF(NOT(ISERROR(VLOOKUP($U20,Calendário!$L$7:$N$56,2,FALSE))),VLOOKUP($U20,Calendário!$L$7:$N$56,2,FALSE),IF(NOT(ISERROR(VLOOKUP($U20,Calendário!$P$7:$R$56,2,FALSE))),VLOOKUP($U20,Calendário!$P$7:$R$56,2,FALSE),IF(NOT(ISERROR(VLOOKUP($U20,Calendário!$T$7:$V$56,2,FALSE))),VLOOKUP($U20,Calendário!$T$7:$V$56,2,FALSE),"--")))))</f>
        <v>14h30</v>
      </c>
      <c r="AE20" t="str">
        <f>IF(NOT(ISERROR(VLOOKUP($U20,Calendário!$X$7:$Z$51,2,FALSE))),VLOOKUP($U20,Calendário!$X$7:$Z$51,2,FALSE),"--")</f>
        <v>--</v>
      </c>
      <c r="AF20" t="str">
        <f>IF(NOT(ISERROR(VLOOKUP($U20,Calendário!$D$57:$F$76,2,FALSE))),VLOOKUP($U20,Calendário!$D$57:$F$76,2,FALSE),IF(NOT(ISERROR(VLOOKUP($U20,Calendário!$H$57:$J$76,2,FALSE))),VLOOKUP($U20,Calendário!$H$57:$J$76,2,FALSE),IF(NOT(ISERROR(VLOOKUP($U20,Calendário!$L$57:$N$76,2,FALSE))),VLOOKUP($U20,Calendário!$L$57:$N$76,2,FALSE),IF(NOT(ISERROR(VLOOKUP($U20,Calendário!$P$57:$R$76,2,FALSE))),VLOOKUP($U20,Calendário!$P$57:$R$76,2,FALSE),IF(NOT(ISERROR(VLOOKUP($U20,Calendário!$T$57:$V$76,2,FALSE))),VLOOKUP($U20,Calendário!$T$57:$V$76,2,FALSE),"--")))))</f>
        <v>14h30</v>
      </c>
      <c r="AG20" t="str">
        <f>IF(NOT(ISERROR(VLOOKUP($U20,Calendário!$X$57:$Z$76,2,FALSE))),VLOOKUP($U20,Calendário!$X$57:$Z$76,2,FALSE),"--")</f>
        <v>--</v>
      </c>
      <c r="AH20" t="str">
        <f>IF(NOT(ISERROR(VLOOKUP($U20,Calendário!$D$87:$F$96,2,FALSE))),VLOOKUP($U20,Calendário!$D$87:$F$96,2,FALSE),IF(NOT(ISERROR(VLOOKUP($U20,Calendário!$H$87:$J$96,2,FALSE))),VLOOKUP($U20,Calendário!$H$87:$J$96,2,FALSE),IF(NOT(ISERROR(VLOOKUP($U20,Calendário!$L$87:$N$96,2,FALSE))),VLOOKUP($U20,Calendário!$L$87:$N$96,2,FALSE),IF(NOT(ISERROR(VLOOKUP($U20,Calendário!$P$87:$R$96,2,FALSE))),VLOOKUP($U20,Calendário!$P$87:$R$96,2,FALSE),IF(NOT(ISERROR(VLOOKUP($U20,Calendário!$T$87:$V$96,2,FALSE))),VLOOKUP($U20,Calendário!$T$87:$V$96,2,FALSE),"--")))))</f>
        <v>14h</v>
      </c>
      <c r="AI20" t="str">
        <f>IF(NOT(ISERROR(VLOOKUP($U20,Calendário!$X$87:$Z$96,2,FALSE))),VLOOKUP($U20,Calendário!$X$87:$Z$96,2,FALSE),"--")</f>
        <v>--</v>
      </c>
      <c r="AJ20" t="str">
        <f>IF(NOT(ISERROR(VLOOKUP($U20,Calendário!$D$97:$F$106,2,FALSE))),VLOOKUP($U20,Calendário!$D$97:$F$106,2,FALSE),IF(NOT(ISERROR(VLOOKUP($U20,Calendário!$H$97:$J$106,2,FALSE))),VLOOKUP($U20,Calendário!$H$97:$J$106,2,FALSE),IF(NOT(ISERROR(VLOOKUP($U20,Calendário!$L$97:$N$106,2,FALSE))),VLOOKUP($U20,Calendário!$L$97:$N$106,2,FALSE),IF(NOT(ISERROR(VLOOKUP($U20,Calendário!$P$97:$R$106,2,FALSE))),VLOOKUP($U20,Calendário!$P$97:$R$106,2,FALSE),IF(NOT(ISERROR(VLOOKUP($U20,Calendário!$T$97:$V$106,2,FALSE))),VLOOKUP($U20,Calendário!$T$97:$V$106,2,FALSE),"--")))))</f>
        <v>14h</v>
      </c>
      <c r="AK20" t="str">
        <f>IF(NOT(ISERROR(VLOOKUP($U20,Calendário!$X$97:$Z$106,2,FALSE))),VLOOKUP($U20,Calendário!$X$97:$Z$106,2,FALSE),"--")</f>
        <v>--</v>
      </c>
    </row>
    <row r="21" spans="2:37" ht="15" x14ac:dyDescent="0.2">
      <c r="B21" s="149" t="s">
        <v>22</v>
      </c>
      <c r="C21" s="148">
        <f t="shared" si="12"/>
        <v>42674</v>
      </c>
      <c r="D21" s="39" t="str">
        <f t="shared" si="13"/>
        <v>9h30</v>
      </c>
      <c r="E21" s="219"/>
      <c r="F21" s="239" t="s">
        <v>103</v>
      </c>
      <c r="G21" s="148">
        <f t="shared" si="14"/>
        <v>42713</v>
      </c>
      <c r="H21" s="39" t="str">
        <f t="shared" si="15"/>
        <v>14h30</v>
      </c>
      <c r="I21" s="116"/>
      <c r="J21" s="245" t="s">
        <v>103</v>
      </c>
      <c r="K21" s="148">
        <f t="shared" si="16"/>
        <v>42748</v>
      </c>
      <c r="L21" s="39" t="str">
        <f t="shared" si="17"/>
        <v>14h</v>
      </c>
      <c r="M21" s="238">
        <v>133</v>
      </c>
      <c r="N21" s="115" t="s">
        <v>103</v>
      </c>
      <c r="O21" s="148">
        <f t="shared" si="18"/>
        <v>42762</v>
      </c>
      <c r="P21" s="39" t="str">
        <f t="shared" si="19"/>
        <v>14h</v>
      </c>
      <c r="Q21" s="238">
        <v>133</v>
      </c>
      <c r="R21" s="115" t="s">
        <v>103</v>
      </c>
      <c r="S21" s="140"/>
      <c r="U21" s="208" t="s">
        <v>191</v>
      </c>
      <c r="V21" s="209">
        <f>IF(NOT(ISERROR(VLOOKUP($U21,Calendário!$D$7:$F$56,3,FALSE))),VLOOKUP($U21,Calendário!$D$7:$F$56,3,FALSE),IF(NOT(ISERROR(VLOOKUP($U21,Calendário!$H$7:$J$56,3,FALSE))),VLOOKUP($U21,Calendário!$H$7:$J$56,3,FALSE),IF(NOT(ISERROR(VLOOKUP($U21,Calendário!$L$7:$N$56,3,FALSE))),VLOOKUP($U21,Calendário!$L$7:$N$56,3,FALSE),IF(NOT(ISERROR(VLOOKUP($U21,Calendário!$P$7:$R$56,3,FALSE))),VLOOKUP($U21,Calendário!$P$7:$R$56,3,FALSE),IF(NOT(ISERROR(VLOOKUP($U21,Calendário!$T$7:$V$56,3,FALSE))),VLOOKUP($U21,Calendário!$T$7:$V$56,3,FALSE),"--")))))</f>
        <v>42674</v>
      </c>
      <c r="W21" t="str">
        <f>IF(NOT(ISERROR(VLOOKUP($U21,Calendário!$X$7:$Z$51,3,FALSE))),VLOOKUP($U21,Calendário!$X$7:$Z$51,3,FALSE),"--")</f>
        <v>--</v>
      </c>
      <c r="X21" s="209">
        <f>IF(NOT(ISERROR(VLOOKUP($U21,Calendário!$D$57:$F$76,3,FALSE))),VLOOKUP($U21,Calendário!$D$57:$F$76,3,FALSE),IF(NOT(ISERROR(VLOOKUP($U21,Calendário!$H$57:$J$76,3,FALSE))),VLOOKUP($U21,Calendário!$H$57:$J$76,3,FALSE),IF(NOT(ISERROR(VLOOKUP($U21,Calendário!$L$57:$N$76,3,FALSE))),VLOOKUP($U21,Calendário!$L$57:$N$76,3,FALSE),IF(NOT(ISERROR(VLOOKUP($U21,Calendário!$P$57:$R$76,3,FALSE))),VLOOKUP($U21,Calendário!$P$57:$R$76,3,FALSE),IF(NOT(ISERROR(VLOOKUP($U21,Calendário!$T$57:$V$76,3,FALSE))),VLOOKUP($U21,Calendário!$T$57:$V$76,3,FALSE),"--")))))</f>
        <v>42713</v>
      </c>
      <c r="Y21" t="str">
        <f>IF(NOT(ISERROR(VLOOKUP($U21,Calendário!$X$57:$Z$76,3,FALSE))),VLOOKUP($U21,Calendário!$X$57:$Z$76,3,FALSE),"--")</f>
        <v>--</v>
      </c>
      <c r="Z21" s="209">
        <f>IF(NOT(ISERROR(VLOOKUP($U21,Calendário!$D$87:$F$96,3,FALSE))),VLOOKUP($U21,Calendário!$D$87:$F$96,3,FALSE),IF(NOT(ISERROR(VLOOKUP($U21,Calendário!$H$87:$J$96,3,FALSE))),VLOOKUP($U21,Calendário!$H$87:$J$96,3,FALSE),IF(NOT(ISERROR(VLOOKUP($U21,Calendário!$L$87:$N$96,3,FALSE))),VLOOKUP($U21,Calendário!$L$87:$N$96,3,FALSE),IF(NOT(ISERROR(VLOOKUP($U21,Calendário!$P$87:$R$96,3,FALSE))),VLOOKUP($U21,Calendário!$P$87:$R$96,3,FALSE),IF(NOT(ISERROR(VLOOKUP($U21,Calendário!$T$87:$V$96,3,FALSE))),VLOOKUP($U21,Calendário!$T$87:$V$96,3,FALSE),"--")))))</f>
        <v>42748</v>
      </c>
      <c r="AA21" t="str">
        <f>IF(NOT(ISERROR(VLOOKUP($U21,Calendário!$X$87:$Z$96,3,FALSE))),VLOOKUP($U21,Calendário!$X$87:$Z$96,3,FALSE),"--")</f>
        <v>--</v>
      </c>
      <c r="AB21">
        <f>IF(NOT(ISERROR(VLOOKUP($U21,Calendário!$D$97:$F$106,3,FALSE))),VLOOKUP($U21,Calendário!$D$97:$F$106,3,FALSE),IF(NOT(ISERROR(VLOOKUP($U21,Calendário!$H$97:$J$106,3,FALSE))),VLOOKUP($U21,Calendário!$H$97:$J$106,3,FALSE),IF(NOT(ISERROR(VLOOKUP($U21,Calendário!$L$97:$N$106,3,FALSE))),VLOOKUP($U21,Calendário!$L$97:$N$106,3,FALSE),IF(NOT(ISERROR(VLOOKUP($U21,Calendário!$P$97:$R$106,3,FALSE))),VLOOKUP($U21,Calendário!$P$97:$R$106,3,FALSE),IF(NOT(ISERROR(VLOOKUP($U21,Calendário!$T$97:$V$106,3,FALSE))),VLOOKUP($U21,Calendário!$T$97:$V$106,3,FALSE),"--")))))</f>
        <v>42762</v>
      </c>
      <c r="AC21" t="str">
        <f>IF(NOT(ISERROR(VLOOKUP($U21,Calendário!$X$97:$Z$106,3,FALSE))),VLOOKUP($U21,Calendário!$X$97:$Z$106,3,FALSE),"--")</f>
        <v>--</v>
      </c>
      <c r="AD21" s="209" t="str">
        <f>IF(NOT(ISERROR(VLOOKUP($U21,Calendário!$D$7:$F$56,2,FALSE))),VLOOKUP($U21,Calendário!$D$7:$F$56,2,FALSE),IF(NOT(ISERROR(VLOOKUP($U21,Calendário!$H$7:$J$56,2,FALSE))),VLOOKUP($U21,Calendário!$H$7:$J$56,2,FALSE),IF(NOT(ISERROR(VLOOKUP($U21,Calendário!$L$7:$N$56,2,FALSE))),VLOOKUP($U21,Calendário!$L$7:$N$56,2,FALSE),IF(NOT(ISERROR(VLOOKUP($U21,Calendário!$P$7:$R$56,2,FALSE))),VLOOKUP($U21,Calendário!$P$7:$R$56,2,FALSE),IF(NOT(ISERROR(VLOOKUP($U21,Calendário!$T$7:$V$56,2,FALSE))),VLOOKUP($U21,Calendário!$T$7:$V$56,2,FALSE),"--")))))</f>
        <v>9h30</v>
      </c>
      <c r="AE21" t="str">
        <f>IF(NOT(ISERROR(VLOOKUP($U21,Calendário!$X$7:$Z$51,2,FALSE))),VLOOKUP($U21,Calendário!$X$7:$Z$51,2,FALSE),"--")</f>
        <v>--</v>
      </c>
      <c r="AF21" t="str">
        <f>IF(NOT(ISERROR(VLOOKUP($U21,Calendário!$D$57:$F$76,2,FALSE))),VLOOKUP($U21,Calendário!$D$57:$F$76,2,FALSE),IF(NOT(ISERROR(VLOOKUP($U21,Calendário!$H$57:$J$76,2,FALSE))),VLOOKUP($U21,Calendário!$H$57:$J$76,2,FALSE),IF(NOT(ISERROR(VLOOKUP($U21,Calendário!$L$57:$N$76,2,FALSE))),VLOOKUP($U21,Calendário!$L$57:$N$76,2,FALSE),IF(NOT(ISERROR(VLOOKUP($U21,Calendário!$P$57:$R$76,2,FALSE))),VLOOKUP($U21,Calendário!$P$57:$R$76,2,FALSE),IF(NOT(ISERROR(VLOOKUP($U21,Calendário!$T$57:$V$76,2,FALSE))),VLOOKUP($U21,Calendário!$T$57:$V$76,2,FALSE),"--")))))</f>
        <v>14h30</v>
      </c>
      <c r="AG21" t="str">
        <f>IF(NOT(ISERROR(VLOOKUP($U21,Calendário!$X$57:$Z$76,2,FALSE))),VLOOKUP($U21,Calendário!$X$57:$Z$76,2,FALSE),"--")</f>
        <v>--</v>
      </c>
      <c r="AH21" t="str">
        <f>IF(NOT(ISERROR(VLOOKUP($U21,Calendário!$D$87:$F$96,2,FALSE))),VLOOKUP($U21,Calendário!$D$87:$F$96,2,FALSE),IF(NOT(ISERROR(VLOOKUP($U21,Calendário!$H$87:$J$96,2,FALSE))),VLOOKUP($U21,Calendário!$H$87:$J$96,2,FALSE),IF(NOT(ISERROR(VLOOKUP($U21,Calendário!$L$87:$N$96,2,FALSE))),VLOOKUP($U21,Calendário!$L$87:$N$96,2,FALSE),IF(NOT(ISERROR(VLOOKUP($U21,Calendário!$P$87:$R$96,2,FALSE))),VLOOKUP($U21,Calendário!$P$87:$R$96,2,FALSE),IF(NOT(ISERROR(VLOOKUP($U21,Calendário!$T$87:$V$96,2,FALSE))),VLOOKUP($U21,Calendário!$T$87:$V$96,2,FALSE),"--")))))</f>
        <v>14h</v>
      </c>
      <c r="AI21" t="str">
        <f>IF(NOT(ISERROR(VLOOKUP($U21,Calendário!$X$87:$Z$96,2,FALSE))),VLOOKUP($U21,Calendário!$X$87:$Z$96,2,FALSE),"--")</f>
        <v>--</v>
      </c>
      <c r="AJ21" t="str">
        <f>IF(NOT(ISERROR(VLOOKUP($U21,Calendário!$D$97:$F$106,2,FALSE))),VLOOKUP($U21,Calendário!$D$97:$F$106,2,FALSE),IF(NOT(ISERROR(VLOOKUP($U21,Calendário!$H$97:$J$106,2,FALSE))),VLOOKUP($U21,Calendário!$H$97:$J$106,2,FALSE),IF(NOT(ISERROR(VLOOKUP($U21,Calendário!$L$97:$N$106,2,FALSE))),VLOOKUP($U21,Calendário!$L$97:$N$106,2,FALSE),IF(NOT(ISERROR(VLOOKUP($U21,Calendário!$P$97:$R$106,2,FALSE))),VLOOKUP($U21,Calendário!$P$97:$R$106,2,FALSE),IF(NOT(ISERROR(VLOOKUP($U21,Calendário!$T$97:$V$106,2,FALSE))),VLOOKUP($U21,Calendário!$T$97:$V$106,2,FALSE),"--")))))</f>
        <v>14h</v>
      </c>
      <c r="AK21" t="str">
        <f>IF(NOT(ISERROR(VLOOKUP($U21,Calendário!$X$97:$Z$106,2,FALSE))),VLOOKUP($U21,Calendário!$X$97:$Z$106,2,FALSE),"--")</f>
        <v>--</v>
      </c>
    </row>
    <row r="22" spans="2:37" ht="15" x14ac:dyDescent="0.2">
      <c r="B22" s="149" t="s">
        <v>23</v>
      </c>
      <c r="C22" s="148">
        <f t="shared" si="12"/>
        <v>42685</v>
      </c>
      <c r="D22" s="39" t="str">
        <f t="shared" si="13"/>
        <v>14h</v>
      </c>
      <c r="E22" s="219"/>
      <c r="F22" s="239" t="s">
        <v>142</v>
      </c>
      <c r="G22" s="148">
        <f t="shared" si="14"/>
        <v>42709</v>
      </c>
      <c r="H22" s="39" t="str">
        <f t="shared" si="15"/>
        <v>14h</v>
      </c>
      <c r="I22" s="111"/>
      <c r="J22" s="245" t="s">
        <v>99</v>
      </c>
      <c r="K22" s="148">
        <f t="shared" si="16"/>
        <v>42741</v>
      </c>
      <c r="L22" s="39" t="str">
        <f t="shared" si="17"/>
        <v>14h</v>
      </c>
      <c r="M22" s="238">
        <v>133</v>
      </c>
      <c r="N22" s="68" t="s">
        <v>99</v>
      </c>
      <c r="O22" s="148">
        <f t="shared" si="18"/>
        <v>42755</v>
      </c>
      <c r="P22" s="39" t="str">
        <f t="shared" si="19"/>
        <v>14h</v>
      </c>
      <c r="Q22" s="238">
        <v>133</v>
      </c>
      <c r="R22" s="68" t="s">
        <v>99</v>
      </c>
      <c r="S22" s="140"/>
      <c r="U22" s="57" t="s">
        <v>67</v>
      </c>
      <c r="V22" s="209">
        <f>IF(NOT(ISERROR(VLOOKUP($U22,Calendário!$D$7:$F$56,3,FALSE))),VLOOKUP($U22,Calendário!$D$7:$F$56,3,FALSE),IF(NOT(ISERROR(VLOOKUP($U22,Calendário!$H$7:$J$56,3,FALSE))),VLOOKUP($U22,Calendário!$H$7:$J$56,3,FALSE),IF(NOT(ISERROR(VLOOKUP($U22,Calendário!$L$7:$N$56,3,FALSE))),VLOOKUP($U22,Calendário!$L$7:$N$56,3,FALSE),IF(NOT(ISERROR(VLOOKUP($U22,Calendário!$P$7:$R$56,3,FALSE))),VLOOKUP($U22,Calendário!$P$7:$R$56,3,FALSE),IF(NOT(ISERROR(VLOOKUP($U22,Calendário!$T$7:$V$56,3,FALSE))),VLOOKUP($U22,Calendário!$T$7:$V$56,3,FALSE),"--")))))</f>
        <v>42685</v>
      </c>
      <c r="W22" t="str">
        <f>IF(NOT(ISERROR(VLOOKUP($U22,Calendário!$X$7:$Z$51,3,FALSE))),VLOOKUP($U22,Calendário!$X$7:$Z$51,3,FALSE),"--")</f>
        <v>--</v>
      </c>
      <c r="X22" s="209">
        <f>IF(NOT(ISERROR(VLOOKUP($U22,Calendário!$D$57:$F$76,3,FALSE))),VLOOKUP($U22,Calendário!$D$57:$F$76,3,FALSE),IF(NOT(ISERROR(VLOOKUP($U22,Calendário!$H$57:$J$76,3,FALSE))),VLOOKUP($U22,Calendário!$H$57:$J$76,3,FALSE),IF(NOT(ISERROR(VLOOKUP($U22,Calendário!$L$57:$N$76,3,FALSE))),VLOOKUP($U22,Calendário!$L$57:$N$76,3,FALSE),IF(NOT(ISERROR(VLOOKUP($U22,Calendário!$P$57:$R$76,3,FALSE))),VLOOKUP($U22,Calendário!$P$57:$R$76,3,FALSE),IF(NOT(ISERROR(VLOOKUP($U22,Calendário!$T$57:$V$76,3,FALSE))),VLOOKUP($U22,Calendário!$T$57:$V$76,3,FALSE),"--")))))</f>
        <v>42709</v>
      </c>
      <c r="Y22" t="str">
        <f>IF(NOT(ISERROR(VLOOKUP($U22,Calendário!$X$57:$Z$76,3,FALSE))),VLOOKUP($U22,Calendário!$X$57:$Z$76,3,FALSE),"--")</f>
        <v>--</v>
      </c>
      <c r="Z22" s="209">
        <f>IF(NOT(ISERROR(VLOOKUP($U22,Calendário!$D$87:$F$96,3,FALSE))),VLOOKUP($U22,Calendário!$D$87:$F$96,3,FALSE),IF(NOT(ISERROR(VLOOKUP($U22,Calendário!$H$87:$J$96,3,FALSE))),VLOOKUP($U22,Calendário!$H$87:$J$96,3,FALSE),IF(NOT(ISERROR(VLOOKUP($U22,Calendário!$L$87:$N$96,3,FALSE))),VLOOKUP($U22,Calendário!$L$87:$N$96,3,FALSE),IF(NOT(ISERROR(VLOOKUP($U22,Calendário!$P$87:$R$96,3,FALSE))),VLOOKUP($U22,Calendário!$P$87:$R$96,3,FALSE),IF(NOT(ISERROR(VLOOKUP($U22,Calendário!$T$87:$V$96,3,FALSE))),VLOOKUP($U22,Calendário!$T$87:$V$96,3,FALSE),"--")))))</f>
        <v>42741</v>
      </c>
      <c r="AA22" t="str">
        <f>IF(NOT(ISERROR(VLOOKUP($U22,Calendário!$X$87:$Z$96,3,FALSE))),VLOOKUP($U22,Calendário!$X$87:$Z$96,3,FALSE),"--")</f>
        <v>--</v>
      </c>
      <c r="AB22">
        <f>IF(NOT(ISERROR(VLOOKUP($U22,Calendário!$D$97:$F$106,3,FALSE))),VLOOKUP($U22,Calendário!$D$97:$F$106,3,FALSE),IF(NOT(ISERROR(VLOOKUP($U22,Calendário!$H$97:$J$106,3,FALSE))),VLOOKUP($U22,Calendário!$H$97:$J$106,3,FALSE),IF(NOT(ISERROR(VLOOKUP($U22,Calendário!$L$97:$N$106,3,FALSE))),VLOOKUP($U22,Calendário!$L$97:$N$106,3,FALSE),IF(NOT(ISERROR(VLOOKUP($U22,Calendário!$P$97:$R$106,3,FALSE))),VLOOKUP($U22,Calendário!$P$97:$R$106,3,FALSE),IF(NOT(ISERROR(VLOOKUP($U22,Calendário!$T$97:$V$106,3,FALSE))),VLOOKUP($U22,Calendário!$T$97:$V$106,3,FALSE),"--")))))</f>
        <v>42755</v>
      </c>
      <c r="AC22" t="str">
        <f>IF(NOT(ISERROR(VLOOKUP($U22,Calendário!$X$97:$Z$106,3,FALSE))),VLOOKUP($U22,Calendário!$X$97:$Z$106,3,FALSE),"--")</f>
        <v>--</v>
      </c>
      <c r="AD22" s="209" t="str">
        <f>IF(NOT(ISERROR(VLOOKUP($U22,Calendário!$D$7:$F$56,2,FALSE))),VLOOKUP($U22,Calendário!$D$7:$F$56,2,FALSE),IF(NOT(ISERROR(VLOOKUP($U22,Calendário!$H$7:$J$56,2,FALSE))),VLOOKUP($U22,Calendário!$H$7:$J$56,2,FALSE),IF(NOT(ISERROR(VLOOKUP($U22,Calendário!$L$7:$N$56,2,FALSE))),VLOOKUP($U22,Calendário!$L$7:$N$56,2,FALSE),IF(NOT(ISERROR(VLOOKUP($U22,Calendário!$P$7:$R$56,2,FALSE))),VLOOKUP($U22,Calendário!$P$7:$R$56,2,FALSE),IF(NOT(ISERROR(VLOOKUP($U22,Calendário!$T$7:$V$56,2,FALSE))),VLOOKUP($U22,Calendário!$T$7:$V$56,2,FALSE),"--")))))</f>
        <v>14h</v>
      </c>
      <c r="AE22" t="str">
        <f>IF(NOT(ISERROR(VLOOKUP($U22,Calendário!$X$7:$Z$51,2,FALSE))),VLOOKUP($U22,Calendário!$X$7:$Z$51,2,FALSE),"--")</f>
        <v>--</v>
      </c>
      <c r="AF22" t="str">
        <f>IF(NOT(ISERROR(VLOOKUP($U22,Calendário!$D$57:$F$76,2,FALSE))),VLOOKUP($U22,Calendário!$D$57:$F$76,2,FALSE),IF(NOT(ISERROR(VLOOKUP($U22,Calendário!$H$57:$J$76,2,FALSE))),VLOOKUP($U22,Calendário!$H$57:$J$76,2,FALSE),IF(NOT(ISERROR(VLOOKUP($U22,Calendário!$L$57:$N$76,2,FALSE))),VLOOKUP($U22,Calendário!$L$57:$N$76,2,FALSE),IF(NOT(ISERROR(VLOOKUP($U22,Calendário!$P$57:$R$76,2,FALSE))),VLOOKUP($U22,Calendário!$P$57:$R$76,2,FALSE),IF(NOT(ISERROR(VLOOKUP($U22,Calendário!$T$57:$V$76,2,FALSE))),VLOOKUP($U22,Calendário!$T$57:$V$76,2,FALSE),"--")))))</f>
        <v>14h</v>
      </c>
      <c r="AG22" t="str">
        <f>IF(NOT(ISERROR(VLOOKUP($U22,Calendário!$X$57:$Z$76,2,FALSE))),VLOOKUP($U22,Calendário!$X$57:$Z$76,2,FALSE),"--")</f>
        <v>--</v>
      </c>
      <c r="AH22" t="str">
        <f>IF(NOT(ISERROR(VLOOKUP($U22,Calendário!$D$87:$F$96,2,FALSE))),VLOOKUP($U22,Calendário!$D$87:$F$96,2,FALSE),IF(NOT(ISERROR(VLOOKUP($U22,Calendário!$H$87:$J$96,2,FALSE))),VLOOKUP($U22,Calendário!$H$87:$J$96,2,FALSE),IF(NOT(ISERROR(VLOOKUP($U22,Calendário!$L$87:$N$96,2,FALSE))),VLOOKUP($U22,Calendário!$L$87:$N$96,2,FALSE),IF(NOT(ISERROR(VLOOKUP($U22,Calendário!$P$87:$R$96,2,FALSE))),VLOOKUP($U22,Calendário!$P$87:$R$96,2,FALSE),IF(NOT(ISERROR(VLOOKUP($U22,Calendário!$T$87:$V$96,2,FALSE))),VLOOKUP($U22,Calendário!$T$87:$V$96,2,FALSE),"--")))))</f>
        <v>14h</v>
      </c>
      <c r="AI22" t="str">
        <f>IF(NOT(ISERROR(VLOOKUP($U22,Calendário!$X$87:$Z$96,2,FALSE))),VLOOKUP($U22,Calendário!$X$87:$Z$96,2,FALSE),"--")</f>
        <v>--</v>
      </c>
      <c r="AJ22" t="str">
        <f>IF(NOT(ISERROR(VLOOKUP($U22,Calendário!$D$97:$F$106,2,FALSE))),VLOOKUP($U22,Calendário!$D$97:$F$106,2,FALSE),IF(NOT(ISERROR(VLOOKUP($U22,Calendário!$H$97:$J$106,2,FALSE))),VLOOKUP($U22,Calendário!$H$97:$J$106,2,FALSE),IF(NOT(ISERROR(VLOOKUP($U22,Calendário!$L$97:$N$106,2,FALSE))),VLOOKUP($U22,Calendário!$L$97:$N$106,2,FALSE),IF(NOT(ISERROR(VLOOKUP($U22,Calendário!$P$97:$R$106,2,FALSE))),VLOOKUP($U22,Calendário!$P$97:$R$106,2,FALSE),IF(NOT(ISERROR(VLOOKUP($U22,Calendário!$T$97:$V$106,2,FALSE))),VLOOKUP($U22,Calendário!$T$97:$V$106,2,FALSE),"--")))))</f>
        <v>14h</v>
      </c>
      <c r="AK22" t="str">
        <f>IF(NOT(ISERROR(VLOOKUP($U22,Calendário!$X$97:$Z$106,2,FALSE))),VLOOKUP($U22,Calendário!$X$97:$Z$106,2,FALSE),"--")</f>
        <v>--</v>
      </c>
    </row>
    <row r="23" spans="2:37" ht="15" x14ac:dyDescent="0.2">
      <c r="B23" s="149" t="s">
        <v>24</v>
      </c>
      <c r="C23" s="148" t="str">
        <f t="shared" si="12"/>
        <v>--</v>
      </c>
      <c r="D23" s="39" t="str">
        <f t="shared" si="13"/>
        <v>--</v>
      </c>
      <c r="E23" s="218"/>
      <c r="F23" s="239" t="s">
        <v>60</v>
      </c>
      <c r="G23" s="148">
        <f t="shared" si="14"/>
        <v>42718</v>
      </c>
      <c r="H23" s="39" t="str">
        <f t="shared" si="15"/>
        <v>9h</v>
      </c>
      <c r="I23" s="116"/>
      <c r="J23" s="244" t="s">
        <v>95</v>
      </c>
      <c r="K23" s="148">
        <f t="shared" si="16"/>
        <v>42744</v>
      </c>
      <c r="L23" s="39" t="str">
        <f t="shared" si="17"/>
        <v>14h</v>
      </c>
      <c r="M23" s="238">
        <v>133</v>
      </c>
      <c r="N23" s="116" t="s">
        <v>95</v>
      </c>
      <c r="O23" s="148">
        <f t="shared" si="18"/>
        <v>42758</v>
      </c>
      <c r="P23" s="39" t="str">
        <f t="shared" si="19"/>
        <v>14h</v>
      </c>
      <c r="Q23" s="238">
        <v>133</v>
      </c>
      <c r="R23" s="116" t="s">
        <v>95</v>
      </c>
      <c r="S23" s="140"/>
      <c r="U23" s="57" t="s">
        <v>65</v>
      </c>
      <c r="V23" s="209" t="str">
        <f>IF(NOT(ISERROR(VLOOKUP($U23,Calendário!$D$7:$F$56,3,FALSE))),VLOOKUP($U23,Calendário!$D$7:$F$56,3,FALSE),IF(NOT(ISERROR(VLOOKUP($U23,Calendário!$H$7:$J$56,3,FALSE))),VLOOKUP($U23,Calendário!$H$7:$J$56,3,FALSE),IF(NOT(ISERROR(VLOOKUP($U23,Calendário!$L$7:$N$56,3,FALSE))),VLOOKUP($U23,Calendário!$L$7:$N$56,3,FALSE),IF(NOT(ISERROR(VLOOKUP($U23,Calendário!$P$7:$R$56,3,FALSE))),VLOOKUP($U23,Calendário!$P$7:$R$56,3,FALSE),IF(NOT(ISERROR(VLOOKUP($U23,Calendário!$T$7:$V$56,3,FALSE))),VLOOKUP($U23,Calendário!$T$7:$V$56,3,FALSE),"--")))))</f>
        <v>--</v>
      </c>
      <c r="W23" t="str">
        <f>IF(NOT(ISERROR(VLOOKUP($U23,Calendário!$X$7:$Z$51,3,FALSE))),VLOOKUP($U23,Calendário!$X$7:$Z$51,3,FALSE),"--")</f>
        <v>--</v>
      </c>
      <c r="X23" s="209">
        <f>IF(NOT(ISERROR(VLOOKUP($U23,Calendário!$D$57:$F$76,3,FALSE))),VLOOKUP($U23,Calendário!$D$57:$F$76,3,FALSE),IF(NOT(ISERROR(VLOOKUP($U23,Calendário!$H$57:$J$76,3,FALSE))),VLOOKUP($U23,Calendário!$H$57:$J$76,3,FALSE),IF(NOT(ISERROR(VLOOKUP($U23,Calendário!$L$57:$N$76,3,FALSE))),VLOOKUP($U23,Calendário!$L$57:$N$76,3,FALSE),IF(NOT(ISERROR(VLOOKUP($U23,Calendário!$P$57:$R$76,3,FALSE))),VLOOKUP($U23,Calendário!$P$57:$R$76,3,FALSE),IF(NOT(ISERROR(VLOOKUP($U23,Calendário!$T$57:$V$76,3,FALSE))),VLOOKUP($U23,Calendário!$T$57:$V$76,3,FALSE),"--")))))</f>
        <v>42718</v>
      </c>
      <c r="Y23" t="str">
        <f>IF(NOT(ISERROR(VLOOKUP($U23,Calendário!$X$57:$Z$76,3,FALSE))),VLOOKUP($U23,Calendário!$X$57:$Z$76,3,FALSE),"--")</f>
        <v>--</v>
      </c>
      <c r="Z23" s="209">
        <f>IF(NOT(ISERROR(VLOOKUP($U23,Calendário!$D$87:$F$96,3,FALSE))),VLOOKUP($U23,Calendário!$D$87:$F$96,3,FALSE),IF(NOT(ISERROR(VLOOKUP($U23,Calendário!$H$87:$J$96,3,FALSE))),VLOOKUP($U23,Calendário!$H$87:$J$96,3,FALSE),IF(NOT(ISERROR(VLOOKUP($U23,Calendário!$L$87:$N$96,3,FALSE))),VLOOKUP($U23,Calendário!$L$87:$N$96,3,FALSE),IF(NOT(ISERROR(VLOOKUP($U23,Calendário!$P$87:$R$96,3,FALSE))),VLOOKUP($U23,Calendário!$P$87:$R$96,3,FALSE),IF(NOT(ISERROR(VLOOKUP($U23,Calendário!$T$87:$V$96,3,FALSE))),VLOOKUP($U23,Calendário!$T$87:$V$96,3,FALSE),"--")))))</f>
        <v>42744</v>
      </c>
      <c r="AA23" t="str">
        <f>IF(NOT(ISERROR(VLOOKUP($U23,Calendário!$X$87:$Z$96,3,FALSE))),VLOOKUP($U23,Calendário!$X$87:$Z$96,3,FALSE),"--")</f>
        <v>--</v>
      </c>
      <c r="AB23">
        <f>IF(NOT(ISERROR(VLOOKUP($U23,Calendário!$D$97:$F$106,3,FALSE))),VLOOKUP($U23,Calendário!$D$97:$F$106,3,FALSE),IF(NOT(ISERROR(VLOOKUP($U23,Calendário!$H$97:$J$106,3,FALSE))),VLOOKUP($U23,Calendário!$H$97:$J$106,3,FALSE),IF(NOT(ISERROR(VLOOKUP($U23,Calendário!$L$97:$N$106,3,FALSE))),VLOOKUP($U23,Calendário!$L$97:$N$106,3,FALSE),IF(NOT(ISERROR(VLOOKUP($U23,Calendário!$P$97:$R$106,3,FALSE))),VLOOKUP($U23,Calendário!$P$97:$R$106,3,FALSE),IF(NOT(ISERROR(VLOOKUP($U23,Calendário!$T$97:$V$106,3,FALSE))),VLOOKUP($U23,Calendário!$T$97:$V$106,3,FALSE),"--")))))</f>
        <v>42758</v>
      </c>
      <c r="AC23" t="str">
        <f>IF(NOT(ISERROR(VLOOKUP($U23,Calendário!$X$97:$Z$106,3,FALSE))),VLOOKUP($U23,Calendário!$X$97:$Z$106,3,FALSE),"--")</f>
        <v>--</v>
      </c>
      <c r="AD23" s="209" t="str">
        <f>IF(NOT(ISERROR(VLOOKUP($U23,Calendário!$D$7:$F$56,2,FALSE))),VLOOKUP($U23,Calendário!$D$7:$F$56,2,FALSE),IF(NOT(ISERROR(VLOOKUP($U23,Calendário!$H$7:$J$56,2,FALSE))),VLOOKUP($U23,Calendário!$H$7:$J$56,2,FALSE),IF(NOT(ISERROR(VLOOKUP($U23,Calendário!$L$7:$N$56,2,FALSE))),VLOOKUP($U23,Calendário!$L$7:$N$56,2,FALSE),IF(NOT(ISERROR(VLOOKUP($U23,Calendário!$P$7:$R$56,2,FALSE))),VLOOKUP($U23,Calendário!$P$7:$R$56,2,FALSE),IF(NOT(ISERROR(VLOOKUP($U23,Calendário!$T$7:$V$56,2,FALSE))),VLOOKUP($U23,Calendário!$T$7:$V$56,2,FALSE),"--")))))</f>
        <v>--</v>
      </c>
      <c r="AE23" t="str">
        <f>IF(NOT(ISERROR(VLOOKUP($U23,Calendário!$X$7:$Z$51,2,FALSE))),VLOOKUP($U23,Calendário!$X$7:$Z$51,2,FALSE),"--")</f>
        <v>--</v>
      </c>
      <c r="AF23" t="str">
        <f>IF(NOT(ISERROR(VLOOKUP($U23,Calendário!$D$57:$F$76,2,FALSE))),VLOOKUP($U23,Calendário!$D$57:$F$76,2,FALSE),IF(NOT(ISERROR(VLOOKUP($U23,Calendário!$H$57:$J$76,2,FALSE))),VLOOKUP($U23,Calendário!$H$57:$J$76,2,FALSE),IF(NOT(ISERROR(VLOOKUP($U23,Calendário!$L$57:$N$76,2,FALSE))),VLOOKUP($U23,Calendário!$L$57:$N$76,2,FALSE),IF(NOT(ISERROR(VLOOKUP($U23,Calendário!$P$57:$R$76,2,FALSE))),VLOOKUP($U23,Calendário!$P$57:$R$76,2,FALSE),IF(NOT(ISERROR(VLOOKUP($U23,Calendário!$T$57:$V$76,2,FALSE))),VLOOKUP($U23,Calendário!$T$57:$V$76,2,FALSE),"--")))))</f>
        <v>9h</v>
      </c>
      <c r="AG23" t="str">
        <f>IF(NOT(ISERROR(VLOOKUP($U23,Calendário!$X$57:$Z$76,2,FALSE))),VLOOKUP($U23,Calendário!$X$57:$Z$76,2,FALSE),"--")</f>
        <v>--</v>
      </c>
      <c r="AH23" t="str">
        <f>IF(NOT(ISERROR(VLOOKUP($U23,Calendário!$D$87:$F$96,2,FALSE))),VLOOKUP($U23,Calendário!$D$87:$F$96,2,FALSE),IF(NOT(ISERROR(VLOOKUP($U23,Calendário!$H$87:$J$96,2,FALSE))),VLOOKUP($U23,Calendário!$H$87:$J$96,2,FALSE),IF(NOT(ISERROR(VLOOKUP($U23,Calendário!$L$87:$N$96,2,FALSE))),VLOOKUP($U23,Calendário!$L$87:$N$96,2,FALSE),IF(NOT(ISERROR(VLOOKUP($U23,Calendário!$P$87:$R$96,2,FALSE))),VLOOKUP($U23,Calendário!$P$87:$R$96,2,FALSE),IF(NOT(ISERROR(VLOOKUP($U23,Calendário!$T$87:$V$96,2,FALSE))),VLOOKUP($U23,Calendário!$T$87:$V$96,2,FALSE),"--")))))</f>
        <v>14h</v>
      </c>
      <c r="AI23" t="str">
        <f>IF(NOT(ISERROR(VLOOKUP($U23,Calendário!$X$87:$Z$96,2,FALSE))),VLOOKUP($U23,Calendário!$X$87:$Z$96,2,FALSE),"--")</f>
        <v>--</v>
      </c>
      <c r="AJ23" t="str">
        <f>IF(NOT(ISERROR(VLOOKUP($U23,Calendário!$D$97:$F$106,2,FALSE))),VLOOKUP($U23,Calendário!$D$97:$F$106,2,FALSE),IF(NOT(ISERROR(VLOOKUP($U23,Calendário!$H$97:$J$106,2,FALSE))),VLOOKUP($U23,Calendário!$H$97:$J$106,2,FALSE),IF(NOT(ISERROR(VLOOKUP($U23,Calendário!$L$97:$N$106,2,FALSE))),VLOOKUP($U23,Calendário!$L$97:$N$106,2,FALSE),IF(NOT(ISERROR(VLOOKUP($U23,Calendário!$P$97:$R$106,2,FALSE))),VLOOKUP($U23,Calendário!$P$97:$R$106,2,FALSE),IF(NOT(ISERROR(VLOOKUP($U23,Calendário!$T$97:$V$106,2,FALSE))),VLOOKUP($U23,Calendário!$T$97:$V$106,2,FALSE),"--")))))</f>
        <v>14h</v>
      </c>
      <c r="AK23" t="str">
        <f>IF(NOT(ISERROR(VLOOKUP($U23,Calendário!$X$97:$Z$106,2,FALSE))),VLOOKUP($U23,Calendário!$X$97:$Z$106,2,FALSE),"--")</f>
        <v>--</v>
      </c>
    </row>
    <row r="24" spans="2:37" ht="15" x14ac:dyDescent="0.2">
      <c r="B24" s="149" t="s">
        <v>25</v>
      </c>
      <c r="C24" s="148" t="str">
        <f t="shared" si="12"/>
        <v>--</v>
      </c>
      <c r="D24" s="39" t="str">
        <f t="shared" si="13"/>
        <v>--</v>
      </c>
      <c r="E24" s="218"/>
      <c r="F24" s="239" t="s">
        <v>60</v>
      </c>
      <c r="G24" s="148">
        <f t="shared" si="14"/>
        <v>42716</v>
      </c>
      <c r="H24" s="39" t="str">
        <f t="shared" si="15"/>
        <v>16h00</v>
      </c>
      <c r="I24" s="115"/>
      <c r="J24" s="244" t="s">
        <v>110</v>
      </c>
      <c r="K24" s="148">
        <f t="shared" si="16"/>
        <v>42746</v>
      </c>
      <c r="L24" s="39" t="str">
        <f t="shared" si="17"/>
        <v>14h</v>
      </c>
      <c r="M24" s="238">
        <v>133</v>
      </c>
      <c r="N24" s="116" t="s">
        <v>110</v>
      </c>
      <c r="O24" s="148">
        <f t="shared" si="18"/>
        <v>42760</v>
      </c>
      <c r="P24" s="39" t="str">
        <f t="shared" si="19"/>
        <v>14h</v>
      </c>
      <c r="Q24" s="238">
        <v>133</v>
      </c>
      <c r="R24" s="116" t="s">
        <v>110</v>
      </c>
      <c r="S24" s="140"/>
      <c r="U24" s="57" t="s">
        <v>75</v>
      </c>
      <c r="V24" s="209" t="str">
        <f>IF(NOT(ISERROR(VLOOKUP($U24,Calendário!$D$7:$F$56,3,FALSE))),VLOOKUP($U24,Calendário!$D$7:$F$56,3,FALSE),IF(NOT(ISERROR(VLOOKUP($U24,Calendário!$H$7:$J$56,3,FALSE))),VLOOKUP($U24,Calendário!$H$7:$J$56,3,FALSE),IF(NOT(ISERROR(VLOOKUP($U24,Calendário!$L$7:$N$56,3,FALSE))),VLOOKUP($U24,Calendário!$L$7:$N$56,3,FALSE),IF(NOT(ISERROR(VLOOKUP($U24,Calendário!$P$7:$R$56,3,FALSE))),VLOOKUP($U24,Calendário!$P$7:$R$56,3,FALSE),IF(NOT(ISERROR(VLOOKUP($U24,Calendário!$T$7:$V$56,3,FALSE))),VLOOKUP($U24,Calendário!$T$7:$V$56,3,FALSE),"--")))))</f>
        <v>--</v>
      </c>
      <c r="W24" t="str">
        <f>IF(NOT(ISERROR(VLOOKUP($U24,Calendário!$X$7:$Z$51,3,FALSE))),VLOOKUP($U24,Calendário!$X$7:$Z$51,3,FALSE),"--")</f>
        <v>--</v>
      </c>
      <c r="X24" s="209">
        <f>IF(NOT(ISERROR(VLOOKUP($U24,Calendário!$D$57:$F$76,3,FALSE))),VLOOKUP($U24,Calendário!$D$57:$F$76,3,FALSE),IF(NOT(ISERROR(VLOOKUP($U24,Calendário!$H$57:$J$76,3,FALSE))),VLOOKUP($U24,Calendário!$H$57:$J$76,3,FALSE),IF(NOT(ISERROR(VLOOKUP($U24,Calendário!$L$57:$N$76,3,FALSE))),VLOOKUP($U24,Calendário!$L$57:$N$76,3,FALSE),IF(NOT(ISERROR(VLOOKUP($U24,Calendário!$P$57:$R$76,3,FALSE))),VLOOKUP($U24,Calendário!$P$57:$R$76,3,FALSE),IF(NOT(ISERROR(VLOOKUP($U24,Calendário!$T$57:$V$76,3,FALSE))),VLOOKUP($U24,Calendário!$T$57:$V$76,3,FALSE),"--")))))</f>
        <v>42716</v>
      </c>
      <c r="Y24" t="str">
        <f>IF(NOT(ISERROR(VLOOKUP($U24,Calendário!$X$57:$Z$76,3,FALSE))),VLOOKUP($U24,Calendário!$X$57:$Z$76,3,FALSE),"--")</f>
        <v>--</v>
      </c>
      <c r="Z24" s="209">
        <f>IF(NOT(ISERROR(VLOOKUP($U24,Calendário!$D$87:$F$96,3,FALSE))),VLOOKUP($U24,Calendário!$D$87:$F$96,3,FALSE),IF(NOT(ISERROR(VLOOKUP($U24,Calendário!$H$87:$J$96,3,FALSE))),VLOOKUP($U24,Calendário!$H$87:$J$96,3,FALSE),IF(NOT(ISERROR(VLOOKUP($U24,Calendário!$L$87:$N$96,3,FALSE))),VLOOKUP($U24,Calendário!$L$87:$N$96,3,FALSE),IF(NOT(ISERROR(VLOOKUP($U24,Calendário!$P$87:$R$96,3,FALSE))),VLOOKUP($U24,Calendário!$P$87:$R$96,3,FALSE),IF(NOT(ISERROR(VLOOKUP($U24,Calendário!$T$87:$V$96,3,FALSE))),VLOOKUP($U24,Calendário!$T$87:$V$96,3,FALSE),"--")))))</f>
        <v>42746</v>
      </c>
      <c r="AA24" t="str">
        <f>IF(NOT(ISERROR(VLOOKUP($U24,Calendário!$X$87:$Z$96,3,FALSE))),VLOOKUP($U24,Calendário!$X$87:$Z$96,3,FALSE),"--")</f>
        <v>--</v>
      </c>
      <c r="AB24">
        <f>IF(NOT(ISERROR(VLOOKUP($U24,Calendário!$D$97:$F$106,3,FALSE))),VLOOKUP($U24,Calendário!$D$97:$F$106,3,FALSE),IF(NOT(ISERROR(VLOOKUP($U24,Calendário!$H$97:$J$106,3,FALSE))),VLOOKUP($U24,Calendário!$H$97:$J$106,3,FALSE),IF(NOT(ISERROR(VLOOKUP($U24,Calendário!$L$97:$N$106,3,FALSE))),VLOOKUP($U24,Calendário!$L$97:$N$106,3,FALSE),IF(NOT(ISERROR(VLOOKUP($U24,Calendário!$P$97:$R$106,3,FALSE))),VLOOKUP($U24,Calendário!$P$97:$R$106,3,FALSE),IF(NOT(ISERROR(VLOOKUP($U24,Calendário!$T$97:$V$106,3,FALSE))),VLOOKUP($U24,Calendário!$T$97:$V$106,3,FALSE),"--")))))</f>
        <v>42760</v>
      </c>
      <c r="AC24" t="str">
        <f>IF(NOT(ISERROR(VLOOKUP($U24,Calendário!$X$97:$Z$106,3,FALSE))),VLOOKUP($U24,Calendário!$X$97:$Z$106,3,FALSE),"--")</f>
        <v>--</v>
      </c>
      <c r="AD24" s="209" t="str">
        <f>IF(NOT(ISERROR(VLOOKUP($U24,Calendário!$D$7:$F$56,2,FALSE))),VLOOKUP($U24,Calendário!$D$7:$F$56,2,FALSE),IF(NOT(ISERROR(VLOOKUP($U24,Calendário!$H$7:$J$56,2,FALSE))),VLOOKUP($U24,Calendário!$H$7:$J$56,2,FALSE),IF(NOT(ISERROR(VLOOKUP($U24,Calendário!$L$7:$N$56,2,FALSE))),VLOOKUP($U24,Calendário!$L$7:$N$56,2,FALSE),IF(NOT(ISERROR(VLOOKUP($U24,Calendário!$P$7:$R$56,2,FALSE))),VLOOKUP($U24,Calendário!$P$7:$R$56,2,FALSE),IF(NOT(ISERROR(VLOOKUP($U24,Calendário!$T$7:$V$56,2,FALSE))),VLOOKUP($U24,Calendário!$T$7:$V$56,2,FALSE),"--")))))</f>
        <v>--</v>
      </c>
      <c r="AE24" t="str">
        <f>IF(NOT(ISERROR(VLOOKUP($U24,Calendário!$X$7:$Z$51,2,FALSE))),VLOOKUP($U24,Calendário!$X$7:$Z$51,2,FALSE),"--")</f>
        <v>--</v>
      </c>
      <c r="AF24" t="str">
        <f>IF(NOT(ISERROR(VLOOKUP($U24,Calendário!$D$57:$F$76,2,FALSE))),VLOOKUP($U24,Calendário!$D$57:$F$76,2,FALSE),IF(NOT(ISERROR(VLOOKUP($U24,Calendário!$H$57:$J$76,2,FALSE))),VLOOKUP($U24,Calendário!$H$57:$J$76,2,FALSE),IF(NOT(ISERROR(VLOOKUP($U24,Calendário!$L$57:$N$76,2,FALSE))),VLOOKUP($U24,Calendário!$L$57:$N$76,2,FALSE),IF(NOT(ISERROR(VLOOKUP($U24,Calendário!$P$57:$R$76,2,FALSE))),VLOOKUP($U24,Calendário!$P$57:$R$76,2,FALSE),IF(NOT(ISERROR(VLOOKUP($U24,Calendário!$T$57:$V$76,2,FALSE))),VLOOKUP($U24,Calendário!$T$57:$V$76,2,FALSE),"--")))))</f>
        <v>16h00</v>
      </c>
      <c r="AG24" t="str">
        <f>IF(NOT(ISERROR(VLOOKUP($U24,Calendário!$X$57:$Z$76,2,FALSE))),VLOOKUP($U24,Calendário!$X$57:$Z$76,2,FALSE),"--")</f>
        <v>--</v>
      </c>
      <c r="AH24" t="str">
        <f>IF(NOT(ISERROR(VLOOKUP($U24,Calendário!$D$87:$F$96,2,FALSE))),VLOOKUP($U24,Calendário!$D$87:$F$96,2,FALSE),IF(NOT(ISERROR(VLOOKUP($U24,Calendário!$H$87:$J$96,2,FALSE))),VLOOKUP($U24,Calendário!$H$87:$J$96,2,FALSE),IF(NOT(ISERROR(VLOOKUP($U24,Calendário!$L$87:$N$96,2,FALSE))),VLOOKUP($U24,Calendário!$L$87:$N$96,2,FALSE),IF(NOT(ISERROR(VLOOKUP($U24,Calendário!$P$87:$R$96,2,FALSE))),VLOOKUP($U24,Calendário!$P$87:$R$96,2,FALSE),IF(NOT(ISERROR(VLOOKUP($U24,Calendário!$T$87:$V$96,2,FALSE))),VLOOKUP($U24,Calendário!$T$87:$V$96,2,FALSE),"--")))))</f>
        <v>14h</v>
      </c>
      <c r="AI24" t="str">
        <f>IF(NOT(ISERROR(VLOOKUP($U24,Calendário!$X$87:$Z$96,2,FALSE))),VLOOKUP($U24,Calendário!$X$87:$Z$96,2,FALSE),"--")</f>
        <v>--</v>
      </c>
      <c r="AJ24" t="str">
        <f>IF(NOT(ISERROR(VLOOKUP($U24,Calendário!$D$97:$F$106,2,FALSE))),VLOOKUP($U24,Calendário!$D$97:$F$106,2,FALSE),IF(NOT(ISERROR(VLOOKUP($U24,Calendário!$H$97:$J$106,2,FALSE))),VLOOKUP($U24,Calendário!$H$97:$J$106,2,FALSE),IF(NOT(ISERROR(VLOOKUP($U24,Calendário!$L$97:$N$106,2,FALSE))),VLOOKUP($U24,Calendário!$L$97:$N$106,2,FALSE),IF(NOT(ISERROR(VLOOKUP($U24,Calendário!$P$97:$R$106,2,FALSE))),VLOOKUP($U24,Calendário!$P$97:$R$106,2,FALSE),IF(NOT(ISERROR(VLOOKUP($U24,Calendário!$T$97:$V$106,2,FALSE))),VLOOKUP($U24,Calendário!$T$97:$V$106,2,FALSE),"--")))))</f>
        <v>14h</v>
      </c>
      <c r="AK24" t="str">
        <f>IF(NOT(ISERROR(VLOOKUP($U24,Calendário!$X$97:$Z$106,2,FALSE))),VLOOKUP($U24,Calendário!$X$97:$Z$106,2,FALSE),"--")</f>
        <v>--</v>
      </c>
    </row>
    <row r="25" spans="2:37" ht="15" x14ac:dyDescent="0.2">
      <c r="B25" s="184" t="s">
        <v>26</v>
      </c>
      <c r="C25" s="148" t="str">
        <f t="shared" si="12"/>
        <v>--</v>
      </c>
      <c r="D25" s="39" t="str">
        <f t="shared" si="13"/>
        <v>--</v>
      </c>
      <c r="E25" s="218"/>
      <c r="F25" s="239" t="s">
        <v>60</v>
      </c>
      <c r="G25" s="148">
        <f t="shared" si="14"/>
        <v>42703</v>
      </c>
      <c r="H25" s="39" t="str">
        <f t="shared" si="15"/>
        <v>14h00</v>
      </c>
      <c r="I25" s="115"/>
      <c r="J25" s="244" t="s">
        <v>144</v>
      </c>
      <c r="K25" s="148">
        <f t="shared" si="16"/>
        <v>42739</v>
      </c>
      <c r="L25" s="39" t="str">
        <f t="shared" si="17"/>
        <v>14h</v>
      </c>
      <c r="M25" s="238">
        <v>133</v>
      </c>
      <c r="N25" s="116" t="s">
        <v>144</v>
      </c>
      <c r="O25" s="148">
        <f t="shared" si="18"/>
        <v>42753</v>
      </c>
      <c r="P25" s="39" t="str">
        <f t="shared" si="19"/>
        <v>14h</v>
      </c>
      <c r="Q25" s="238">
        <v>133</v>
      </c>
      <c r="R25" s="116" t="s">
        <v>144</v>
      </c>
      <c r="S25" s="140"/>
      <c r="U25" s="57" t="s">
        <v>76</v>
      </c>
      <c r="V25" s="209" t="str">
        <f>IF(NOT(ISERROR(VLOOKUP($U25,Calendário!$D$7:$F$56,3,FALSE))),VLOOKUP($U25,Calendário!$D$7:$F$56,3,FALSE),IF(NOT(ISERROR(VLOOKUP($U25,Calendário!$H$7:$J$56,3,FALSE))),VLOOKUP($U25,Calendário!$H$7:$J$56,3,FALSE),IF(NOT(ISERROR(VLOOKUP($U25,Calendário!$L$7:$N$56,3,FALSE))),VLOOKUP($U25,Calendário!$L$7:$N$56,3,FALSE),IF(NOT(ISERROR(VLOOKUP($U25,Calendário!$P$7:$R$56,3,FALSE))),VLOOKUP($U25,Calendário!$P$7:$R$56,3,FALSE),IF(NOT(ISERROR(VLOOKUP($U25,Calendário!$T$7:$V$56,3,FALSE))),VLOOKUP($U25,Calendário!$T$7:$V$56,3,FALSE),"--")))))</f>
        <v>--</v>
      </c>
      <c r="W25" t="str">
        <f>IF(NOT(ISERROR(VLOOKUP($U25,Calendário!$X$7:$Z$51,3,FALSE))),VLOOKUP($U25,Calendário!$X$7:$Z$51,3,FALSE),"--")</f>
        <v>--</v>
      </c>
      <c r="X25" s="209">
        <f>IF(NOT(ISERROR(VLOOKUP($U25,Calendário!$D$57:$F$76,3,FALSE))),VLOOKUP($U25,Calendário!$D$57:$F$76,3,FALSE),IF(NOT(ISERROR(VLOOKUP($U25,Calendário!$H$57:$J$76,3,FALSE))),VLOOKUP($U25,Calendário!$H$57:$J$76,3,FALSE),IF(NOT(ISERROR(VLOOKUP($U25,Calendário!$L$57:$N$76,3,FALSE))),VLOOKUP($U25,Calendário!$L$57:$N$76,3,FALSE),IF(NOT(ISERROR(VLOOKUP($U25,Calendário!$P$57:$R$76,3,FALSE))),VLOOKUP($U25,Calendário!$P$57:$R$76,3,FALSE),IF(NOT(ISERROR(VLOOKUP($U25,Calendário!$T$57:$V$76,3,FALSE))),VLOOKUP($U25,Calendário!$T$57:$V$76,3,FALSE),"--")))))</f>
        <v>42703</v>
      </c>
      <c r="Y25" t="str">
        <f>IF(NOT(ISERROR(VLOOKUP($U25,Calendário!$X$57:$Z$76,3,FALSE))),VLOOKUP($U25,Calendário!$X$57:$Z$76,3,FALSE),"--")</f>
        <v>--</v>
      </c>
      <c r="Z25" s="209">
        <f>IF(NOT(ISERROR(VLOOKUP($U25,Calendário!$D$87:$F$96,3,FALSE))),VLOOKUP($U25,Calendário!$D$87:$F$96,3,FALSE),IF(NOT(ISERROR(VLOOKUP($U25,Calendário!$H$87:$J$96,3,FALSE))),VLOOKUP($U25,Calendário!$H$87:$J$96,3,FALSE),IF(NOT(ISERROR(VLOOKUP($U25,Calendário!$L$87:$N$96,3,FALSE))),VLOOKUP($U25,Calendário!$L$87:$N$96,3,FALSE),IF(NOT(ISERROR(VLOOKUP($U25,Calendário!$P$87:$R$96,3,FALSE))),VLOOKUP($U25,Calendário!$P$87:$R$96,3,FALSE),IF(NOT(ISERROR(VLOOKUP($U25,Calendário!$T$87:$V$96,3,FALSE))),VLOOKUP($U25,Calendário!$T$87:$V$96,3,FALSE),"--")))))</f>
        <v>42739</v>
      </c>
      <c r="AA25" t="str">
        <f>IF(NOT(ISERROR(VLOOKUP($U25,Calendário!$X$87:$Z$96,3,FALSE))),VLOOKUP($U25,Calendário!$X$87:$Z$96,3,FALSE),"--")</f>
        <v>--</v>
      </c>
      <c r="AB25">
        <f>IF(NOT(ISERROR(VLOOKUP($U25,Calendário!$D$97:$F$106,3,FALSE))),VLOOKUP($U25,Calendário!$D$97:$F$106,3,FALSE),IF(NOT(ISERROR(VLOOKUP($U25,Calendário!$H$97:$J$106,3,FALSE))),VLOOKUP($U25,Calendário!$H$97:$J$106,3,FALSE),IF(NOT(ISERROR(VLOOKUP($U25,Calendário!$L$97:$N$106,3,FALSE))),VLOOKUP($U25,Calendário!$L$97:$N$106,3,FALSE),IF(NOT(ISERROR(VLOOKUP($U25,Calendário!$P$97:$R$106,3,FALSE))),VLOOKUP($U25,Calendário!$P$97:$R$106,3,FALSE),IF(NOT(ISERROR(VLOOKUP($U25,Calendário!$T$97:$V$106,3,FALSE))),VLOOKUP($U25,Calendário!$T$97:$V$106,3,FALSE),"--")))))</f>
        <v>42753</v>
      </c>
      <c r="AC25" t="str">
        <f>IF(NOT(ISERROR(VLOOKUP($U25,Calendário!$X$97:$Z$106,3,FALSE))),VLOOKUP($U25,Calendário!$X$97:$Z$106,3,FALSE),"--")</f>
        <v>--</v>
      </c>
      <c r="AD25" s="209" t="str">
        <f>IF(NOT(ISERROR(VLOOKUP($U25,Calendário!$D$7:$F$56,2,FALSE))),VLOOKUP($U25,Calendário!$D$7:$F$56,2,FALSE),IF(NOT(ISERROR(VLOOKUP($U25,Calendário!$H$7:$J$56,2,FALSE))),VLOOKUP($U25,Calendário!$H$7:$J$56,2,FALSE),IF(NOT(ISERROR(VLOOKUP($U25,Calendário!$L$7:$N$56,2,FALSE))),VLOOKUP($U25,Calendário!$L$7:$N$56,2,FALSE),IF(NOT(ISERROR(VLOOKUP($U25,Calendário!$P$7:$R$56,2,FALSE))),VLOOKUP($U25,Calendário!$P$7:$R$56,2,FALSE),IF(NOT(ISERROR(VLOOKUP($U25,Calendário!$T$7:$V$56,2,FALSE))),VLOOKUP($U25,Calendário!$T$7:$V$56,2,FALSE),"--")))))</f>
        <v>--</v>
      </c>
      <c r="AE25" t="str">
        <f>IF(NOT(ISERROR(VLOOKUP($U25,Calendário!$X$7:$Z$51,2,FALSE))),VLOOKUP($U25,Calendário!$X$7:$Z$51,2,FALSE),"--")</f>
        <v>--</v>
      </c>
      <c r="AF25" t="str">
        <f>IF(NOT(ISERROR(VLOOKUP($U25,Calendário!$D$57:$F$76,2,FALSE))),VLOOKUP($U25,Calendário!$D$57:$F$76,2,FALSE),IF(NOT(ISERROR(VLOOKUP($U25,Calendário!$H$57:$J$76,2,FALSE))),VLOOKUP($U25,Calendário!$H$57:$J$76,2,FALSE),IF(NOT(ISERROR(VLOOKUP($U25,Calendário!$L$57:$N$76,2,FALSE))),VLOOKUP($U25,Calendário!$L$57:$N$76,2,FALSE),IF(NOT(ISERROR(VLOOKUP($U25,Calendário!$P$57:$R$76,2,FALSE))),VLOOKUP($U25,Calendário!$P$57:$R$76,2,FALSE),IF(NOT(ISERROR(VLOOKUP($U25,Calendário!$T$57:$V$76,2,FALSE))),VLOOKUP($U25,Calendário!$T$57:$V$76,2,FALSE),"--")))))</f>
        <v>14h00</v>
      </c>
      <c r="AG25" t="str">
        <f>IF(NOT(ISERROR(VLOOKUP($U25,Calendário!$X$57:$Z$76,2,FALSE))),VLOOKUP($U25,Calendário!$X$57:$Z$76,2,FALSE),"--")</f>
        <v>--</v>
      </c>
      <c r="AH25" t="str">
        <f>IF(NOT(ISERROR(VLOOKUP($U25,Calendário!$D$87:$F$96,2,FALSE))),VLOOKUP($U25,Calendário!$D$87:$F$96,2,FALSE),IF(NOT(ISERROR(VLOOKUP($U25,Calendário!$H$87:$J$96,2,FALSE))),VLOOKUP($U25,Calendário!$H$87:$J$96,2,FALSE),IF(NOT(ISERROR(VLOOKUP($U25,Calendário!$L$87:$N$96,2,FALSE))),VLOOKUP($U25,Calendário!$L$87:$N$96,2,FALSE),IF(NOT(ISERROR(VLOOKUP($U25,Calendário!$P$87:$R$96,2,FALSE))),VLOOKUP($U25,Calendário!$P$87:$R$96,2,FALSE),IF(NOT(ISERROR(VLOOKUP($U25,Calendário!$T$87:$V$96,2,FALSE))),VLOOKUP($U25,Calendário!$T$87:$V$96,2,FALSE),"--")))))</f>
        <v>14h</v>
      </c>
      <c r="AI25" t="str">
        <f>IF(NOT(ISERROR(VLOOKUP($U25,Calendário!$X$87:$Z$96,2,FALSE))),VLOOKUP($U25,Calendário!$X$87:$Z$96,2,FALSE),"--")</f>
        <v>--</v>
      </c>
      <c r="AJ25" t="str">
        <f>IF(NOT(ISERROR(VLOOKUP($U25,Calendário!$D$97:$F$106,2,FALSE))),VLOOKUP($U25,Calendário!$D$97:$F$106,2,FALSE),IF(NOT(ISERROR(VLOOKUP($U25,Calendário!$H$97:$J$106,2,FALSE))),VLOOKUP($U25,Calendário!$H$97:$J$106,2,FALSE),IF(NOT(ISERROR(VLOOKUP($U25,Calendário!$L$97:$N$106,2,FALSE))),VLOOKUP($U25,Calendário!$L$97:$N$106,2,FALSE),IF(NOT(ISERROR(VLOOKUP($U25,Calendário!$P$97:$R$106,2,FALSE))),VLOOKUP($U25,Calendário!$P$97:$R$106,2,FALSE),IF(NOT(ISERROR(VLOOKUP($U25,Calendário!$T$97:$V$106,2,FALSE))),VLOOKUP($U25,Calendário!$T$97:$V$106,2,FALSE),"--")))))</f>
        <v>14h</v>
      </c>
      <c r="AK25" t="str">
        <f>IF(NOT(ISERROR(VLOOKUP($U25,Calendário!$X$97:$Z$106,2,FALSE))),VLOOKUP($U25,Calendário!$X$97:$Z$106,2,FALSE),"--")</f>
        <v>--</v>
      </c>
    </row>
    <row r="26" spans="2:37" ht="15" x14ac:dyDescent="0.2">
      <c r="B26" s="149" t="s">
        <v>27</v>
      </c>
      <c r="C26" s="148" t="str">
        <f t="shared" si="12"/>
        <v>--</v>
      </c>
      <c r="D26" s="39" t="str">
        <f t="shared" si="13"/>
        <v>--</v>
      </c>
      <c r="E26" s="218"/>
      <c r="F26" s="239" t="s">
        <v>60</v>
      </c>
      <c r="G26" s="148">
        <f t="shared" si="14"/>
        <v>42711</v>
      </c>
      <c r="H26" s="39" t="str">
        <f t="shared" si="15"/>
        <v>14h30</v>
      </c>
      <c r="I26" s="115"/>
      <c r="J26" s="244" t="s">
        <v>97</v>
      </c>
      <c r="K26" s="148">
        <f t="shared" si="16"/>
        <v>42739</v>
      </c>
      <c r="L26" s="39" t="str">
        <f t="shared" si="17"/>
        <v>14h</v>
      </c>
      <c r="M26" s="238">
        <v>162</v>
      </c>
      <c r="N26" s="116" t="s">
        <v>97</v>
      </c>
      <c r="O26" s="148">
        <f t="shared" si="18"/>
        <v>42753</v>
      </c>
      <c r="P26" s="39" t="str">
        <f t="shared" si="19"/>
        <v>14h</v>
      </c>
      <c r="Q26" s="238">
        <v>162</v>
      </c>
      <c r="R26" s="116" t="s">
        <v>97</v>
      </c>
      <c r="S26" s="140"/>
      <c r="U26" s="208" t="s">
        <v>193</v>
      </c>
      <c r="V26" s="209" t="str">
        <f>IF(NOT(ISERROR(VLOOKUP($U26,Calendário!$D$7:$F$56,3,FALSE))),VLOOKUP($U26,Calendário!$D$7:$F$56,3,FALSE),IF(NOT(ISERROR(VLOOKUP($U26,Calendário!$H$7:$J$56,3,FALSE))),VLOOKUP($U26,Calendário!$H$7:$J$56,3,FALSE),IF(NOT(ISERROR(VLOOKUP($U26,Calendário!$L$7:$N$56,3,FALSE))),VLOOKUP($U26,Calendário!$L$7:$N$56,3,FALSE),IF(NOT(ISERROR(VLOOKUP($U26,Calendário!$P$7:$R$56,3,FALSE))),VLOOKUP($U26,Calendário!$P$7:$R$56,3,FALSE),IF(NOT(ISERROR(VLOOKUP($U26,Calendário!$T$7:$V$56,3,FALSE))),VLOOKUP($U26,Calendário!$T$7:$V$56,3,FALSE),"--")))))</f>
        <v>--</v>
      </c>
      <c r="W26" t="str">
        <f>IF(NOT(ISERROR(VLOOKUP($U26,Calendário!$X$7:$Z$51,3,FALSE))),VLOOKUP($U26,Calendário!$X$7:$Z$51,3,FALSE),"--")</f>
        <v>--</v>
      </c>
      <c r="X26" s="209">
        <f>IF(NOT(ISERROR(VLOOKUP($U26,Calendário!$D$57:$F$76,3,FALSE))),VLOOKUP($U26,Calendário!$D$57:$F$76,3,FALSE),IF(NOT(ISERROR(VLOOKUP($U26,Calendário!$H$57:$J$76,3,FALSE))),VLOOKUP($U26,Calendário!$H$57:$J$76,3,FALSE),IF(NOT(ISERROR(VLOOKUP($U26,Calendário!$L$57:$N$76,3,FALSE))),VLOOKUP($U26,Calendário!$L$57:$N$76,3,FALSE),IF(NOT(ISERROR(VLOOKUP($U26,Calendário!$P$57:$R$76,3,FALSE))),VLOOKUP($U26,Calendário!$P$57:$R$76,3,FALSE),IF(NOT(ISERROR(VLOOKUP($U26,Calendário!$T$57:$V$76,3,FALSE))),VLOOKUP($U26,Calendário!$T$57:$V$76,3,FALSE),"--")))))</f>
        <v>42711</v>
      </c>
      <c r="Y26" t="str">
        <f>IF(NOT(ISERROR(VLOOKUP($U26,Calendário!$X$57:$Z$76,3,FALSE))),VLOOKUP($U26,Calendário!$X$57:$Z$76,3,FALSE),"--")</f>
        <v>--</v>
      </c>
      <c r="Z26" s="209">
        <f>IF(NOT(ISERROR(VLOOKUP($U26,Calendário!$D$87:$F$96,3,FALSE))),VLOOKUP($U26,Calendário!$D$87:$F$96,3,FALSE),IF(NOT(ISERROR(VLOOKUP($U26,Calendário!$H$87:$J$96,3,FALSE))),VLOOKUP($U26,Calendário!$H$87:$J$96,3,FALSE),IF(NOT(ISERROR(VLOOKUP($U26,Calendário!$L$87:$N$96,3,FALSE))),VLOOKUP($U26,Calendário!$L$87:$N$96,3,FALSE),IF(NOT(ISERROR(VLOOKUP($U26,Calendário!$P$87:$R$96,3,FALSE))),VLOOKUP($U26,Calendário!$P$87:$R$96,3,FALSE),IF(NOT(ISERROR(VLOOKUP($U26,Calendário!$T$87:$V$96,3,FALSE))),VLOOKUP($U26,Calendário!$T$87:$V$96,3,FALSE),"--")))))</f>
        <v>42739</v>
      </c>
      <c r="AA26" t="str">
        <f>IF(NOT(ISERROR(VLOOKUP($U26,Calendário!$X$87:$Z$96,3,FALSE))),VLOOKUP($U26,Calendário!$X$87:$Z$96,3,FALSE),"--")</f>
        <v>--</v>
      </c>
      <c r="AB26">
        <f>IF(NOT(ISERROR(VLOOKUP($U26,Calendário!$D$97:$F$106,3,FALSE))),VLOOKUP($U26,Calendário!$D$97:$F$106,3,FALSE),IF(NOT(ISERROR(VLOOKUP($U26,Calendário!$H$97:$J$106,3,FALSE))),VLOOKUP($U26,Calendário!$H$97:$J$106,3,FALSE),IF(NOT(ISERROR(VLOOKUP($U26,Calendário!$L$97:$N$106,3,FALSE))),VLOOKUP($U26,Calendário!$L$97:$N$106,3,FALSE),IF(NOT(ISERROR(VLOOKUP($U26,Calendário!$P$97:$R$106,3,FALSE))),VLOOKUP($U26,Calendário!$P$97:$R$106,3,FALSE),IF(NOT(ISERROR(VLOOKUP($U26,Calendário!$T$97:$V$106,3,FALSE))),VLOOKUP($U26,Calendário!$T$97:$V$106,3,FALSE),"--")))))</f>
        <v>42753</v>
      </c>
      <c r="AC26" t="str">
        <f>IF(NOT(ISERROR(VLOOKUP($U26,Calendário!$X$97:$Z$106,3,FALSE))),VLOOKUP($U26,Calendário!$X$97:$Z$106,3,FALSE),"--")</f>
        <v>--</v>
      </c>
      <c r="AD26" s="209" t="str">
        <f>IF(NOT(ISERROR(VLOOKUP($U26,Calendário!$D$7:$F$56,2,FALSE))),VLOOKUP($U26,Calendário!$D$7:$F$56,2,FALSE),IF(NOT(ISERROR(VLOOKUP($U26,Calendário!$H$7:$J$56,2,FALSE))),VLOOKUP($U26,Calendário!$H$7:$J$56,2,FALSE),IF(NOT(ISERROR(VLOOKUP($U26,Calendário!$L$7:$N$56,2,FALSE))),VLOOKUP($U26,Calendário!$L$7:$N$56,2,FALSE),IF(NOT(ISERROR(VLOOKUP($U26,Calendário!$P$7:$R$56,2,FALSE))),VLOOKUP($U26,Calendário!$P$7:$R$56,2,FALSE),IF(NOT(ISERROR(VLOOKUP($U26,Calendário!$T$7:$V$56,2,FALSE))),VLOOKUP($U26,Calendário!$T$7:$V$56,2,FALSE),"--")))))</f>
        <v>--</v>
      </c>
      <c r="AE26" t="str">
        <f>IF(NOT(ISERROR(VLOOKUP($U26,Calendário!$X$7:$Z$51,2,FALSE))),VLOOKUP($U26,Calendário!$X$7:$Z$51,2,FALSE),"--")</f>
        <v>--</v>
      </c>
      <c r="AF26" t="str">
        <f>IF(NOT(ISERROR(VLOOKUP($U26,Calendário!$D$57:$F$76,2,FALSE))),VLOOKUP($U26,Calendário!$D$57:$F$76,2,FALSE),IF(NOT(ISERROR(VLOOKUP($U26,Calendário!$H$57:$J$76,2,FALSE))),VLOOKUP($U26,Calendário!$H$57:$J$76,2,FALSE),IF(NOT(ISERROR(VLOOKUP($U26,Calendário!$L$57:$N$76,2,FALSE))),VLOOKUP($U26,Calendário!$L$57:$N$76,2,FALSE),IF(NOT(ISERROR(VLOOKUP($U26,Calendário!$P$57:$R$76,2,FALSE))),VLOOKUP($U26,Calendário!$P$57:$R$76,2,FALSE),IF(NOT(ISERROR(VLOOKUP($U26,Calendário!$T$57:$V$76,2,FALSE))),VLOOKUP($U26,Calendário!$T$57:$V$76,2,FALSE),"--")))))</f>
        <v>14h30</v>
      </c>
      <c r="AG26" t="str">
        <f>IF(NOT(ISERROR(VLOOKUP($U26,Calendário!$X$57:$Z$76,2,FALSE))),VLOOKUP($U26,Calendário!$X$57:$Z$76,2,FALSE),"--")</f>
        <v>--</v>
      </c>
      <c r="AH26" t="str">
        <f>IF(NOT(ISERROR(VLOOKUP($U26,Calendário!$D$87:$F$96,2,FALSE))),VLOOKUP($U26,Calendário!$D$87:$F$96,2,FALSE),IF(NOT(ISERROR(VLOOKUP($U26,Calendário!$H$87:$J$96,2,FALSE))),VLOOKUP($U26,Calendário!$H$87:$J$96,2,FALSE),IF(NOT(ISERROR(VLOOKUP($U26,Calendário!$L$87:$N$96,2,FALSE))),VLOOKUP($U26,Calendário!$L$87:$N$96,2,FALSE),IF(NOT(ISERROR(VLOOKUP($U26,Calendário!$P$87:$R$96,2,FALSE))),VLOOKUP($U26,Calendário!$P$87:$R$96,2,FALSE),IF(NOT(ISERROR(VLOOKUP($U26,Calendário!$T$87:$V$96,2,FALSE))),VLOOKUP($U26,Calendário!$T$87:$V$96,2,FALSE),"--")))))</f>
        <v>14h</v>
      </c>
      <c r="AI26" t="str">
        <f>IF(NOT(ISERROR(VLOOKUP($U26,Calendário!$X$87:$Z$96,2,FALSE))),VLOOKUP($U26,Calendário!$X$87:$Z$96,2,FALSE),"--")</f>
        <v>--</v>
      </c>
      <c r="AJ26" t="str">
        <f>IF(NOT(ISERROR(VLOOKUP($U26,Calendário!$D$97:$F$106,2,FALSE))),VLOOKUP($U26,Calendário!$D$97:$F$106,2,FALSE),IF(NOT(ISERROR(VLOOKUP($U26,Calendário!$H$97:$J$106,2,FALSE))),VLOOKUP($U26,Calendário!$H$97:$J$106,2,FALSE),IF(NOT(ISERROR(VLOOKUP($U26,Calendário!$L$97:$N$106,2,FALSE))),VLOOKUP($U26,Calendário!$L$97:$N$106,2,FALSE),IF(NOT(ISERROR(VLOOKUP($U26,Calendário!$P$97:$R$106,2,FALSE))),VLOOKUP($U26,Calendário!$P$97:$R$106,2,FALSE),IF(NOT(ISERROR(VLOOKUP($U26,Calendário!$T$97:$V$106,2,FALSE))),VLOOKUP($U26,Calendário!$T$97:$V$106,2,FALSE),"--")))))</f>
        <v>14h</v>
      </c>
      <c r="AK26" t="str">
        <f>IF(NOT(ISERROR(VLOOKUP($U26,Calendário!$X$97:$Z$106,2,FALSE))),VLOOKUP($U26,Calendário!$X$97:$Z$106,2,FALSE),"--")</f>
        <v>--</v>
      </c>
    </row>
    <row r="27" spans="2:37" ht="15" hidden="1" customHeight="1" x14ac:dyDescent="0.2">
      <c r="B27" s="149"/>
      <c r="C27" s="148" t="str">
        <f t="shared" si="12"/>
        <v>--</v>
      </c>
      <c r="D27" s="39" t="str">
        <f t="shared" si="13"/>
        <v>--</v>
      </c>
      <c r="E27" s="216"/>
      <c r="F27" s="238"/>
      <c r="G27" s="148" t="str">
        <f t="shared" si="14"/>
        <v>--</v>
      </c>
      <c r="H27" s="39" t="str">
        <f t="shared" si="15"/>
        <v>--</v>
      </c>
      <c r="I27" s="66"/>
      <c r="J27" s="244"/>
      <c r="K27" s="148" t="str">
        <f>IF(Z27&lt;&gt;"--",Z27,AA27)</f>
        <v>--</v>
      </c>
      <c r="L27" s="39" t="str">
        <f>IF(AH27&lt;&gt;"--",AH27,AI27)</f>
        <v>--</v>
      </c>
      <c r="M27" s="238"/>
      <c r="N27" s="66"/>
      <c r="O27" s="148" t="str">
        <f>IF(AB27&lt;&gt;"--",AB27,AC27)</f>
        <v>--</v>
      </c>
      <c r="P27" s="39" t="str">
        <f>IF(AJ27&lt;&gt;"--",AJ27,AK27)</f>
        <v>--</v>
      </c>
      <c r="Q27" s="244"/>
      <c r="R27" s="66"/>
      <c r="S27" s="140"/>
      <c r="V27" s="209" t="str">
        <f>IF(NOT(ISERROR(VLOOKUP($U27,Calendário!$D$7:$F$56,3,FALSE))),VLOOKUP($U27,Calendário!$D$7:$F$56,3,FALSE),IF(NOT(ISERROR(VLOOKUP($U27,Calendário!$H$7:$J$56,3,FALSE))),VLOOKUP($U27,Calendário!$H$7:$J$56,3,FALSE),IF(NOT(ISERROR(VLOOKUP($U27,Calendário!$L$7:$N$56,3,FALSE))),VLOOKUP($U27,Calendário!$L$7:$N$56,3,FALSE),IF(NOT(ISERROR(VLOOKUP($U27,Calendário!$P$7:$R$56,3,FALSE))),VLOOKUP($U27,Calendário!$P$7:$R$56,3,FALSE),IF(NOT(ISERROR(VLOOKUP($U27,Calendário!$T$7:$V$56,3,FALSE))),VLOOKUP($U27,Calendário!$T$7:$V$56,3,FALSE),"--")))))</f>
        <v>--</v>
      </c>
      <c r="W27" t="str">
        <f>IF(NOT(ISERROR(VLOOKUP($U27,Calendário!$X$7:$Z$51,3,FALSE))),VLOOKUP($U27,Calendário!$X$7:$Z$51,3,FALSE),"--")</f>
        <v>--</v>
      </c>
      <c r="X27" s="209" t="str">
        <f>IF(NOT(ISERROR(VLOOKUP($U27,Calendário!$D$57:$F$76,3,FALSE))),VLOOKUP($U27,Calendário!$D$57:$F$76,3,FALSE),IF(NOT(ISERROR(VLOOKUP($U27,Calendário!$H$57:$J$76,3,FALSE))),VLOOKUP($U27,Calendário!$H$57:$J$76,3,FALSE),IF(NOT(ISERROR(VLOOKUP($U27,Calendário!$L$57:$N$76,3,FALSE))),VLOOKUP($U27,Calendário!$L$57:$N$76,3,FALSE),IF(NOT(ISERROR(VLOOKUP($U27,Calendário!$P$57:$R$76,3,FALSE))),VLOOKUP($U27,Calendário!$P$57:$R$76,3,FALSE),IF(NOT(ISERROR(VLOOKUP($U27,Calendário!$T$57:$V$76,3,FALSE))),VLOOKUP($U27,Calendário!$T$57:$V$76,3,FALSE),"--")))))</f>
        <v>--</v>
      </c>
      <c r="Y27" t="str">
        <f>IF(NOT(ISERROR(VLOOKUP($U27,Calendário!$X$57:$Z$76,3,FALSE))),VLOOKUP($U27,Calendário!$X$57:$Z$76,3,FALSE),"--")</f>
        <v>--</v>
      </c>
      <c r="Z27" s="209" t="str">
        <f>IF(NOT(ISERROR(VLOOKUP($U27,Calendário!$D$87:$F$96,3,FALSE))),VLOOKUP($U27,Calendário!$D$87:$F$96,3,FALSE),IF(NOT(ISERROR(VLOOKUP($U27,Calendário!$H$87:$J$96,3,FALSE))),VLOOKUP($U27,Calendário!$H$87:$J$96,3,FALSE),IF(NOT(ISERROR(VLOOKUP($U27,Calendário!$L$87:$N$96,3,FALSE))),VLOOKUP($U27,Calendário!$L$87:$N$96,3,FALSE),IF(NOT(ISERROR(VLOOKUP($U27,Calendário!$P$87:$R$96,3,FALSE))),VLOOKUP($U27,Calendário!$P$87:$R$96,3,FALSE),IF(NOT(ISERROR(VLOOKUP($U27,Calendário!$T$87:$V$96,3,FALSE))),VLOOKUP($U27,Calendário!$T$87:$V$96,3,FALSE),"--")))))</f>
        <v>--</v>
      </c>
      <c r="AA27" t="str">
        <f>IF(NOT(ISERROR(VLOOKUP($U27,Calendário!$X$87:$Z$96,3,FALSE))),VLOOKUP($U27,Calendário!$X$87:$Z$96,3,FALSE),"--")</f>
        <v>--</v>
      </c>
      <c r="AB27" t="str">
        <f>IF(NOT(ISERROR(VLOOKUP($U27,Calendário!$D$97:$F$106,3,FALSE))),VLOOKUP($U27,Calendário!$D$97:$F$106,3,FALSE),IF(NOT(ISERROR(VLOOKUP($U27,Calendário!$H$97:$J$106,3,FALSE))),VLOOKUP($U27,Calendário!$H$97:$J$106,3,FALSE),IF(NOT(ISERROR(VLOOKUP($U27,Calendário!$L$97:$N$106,3,FALSE))),VLOOKUP($U27,Calendário!$L$97:$N$106,3,FALSE),IF(NOT(ISERROR(VLOOKUP($U27,Calendário!$P$97:$R$106,3,FALSE))),VLOOKUP($U27,Calendário!$P$97:$R$106,3,FALSE),IF(NOT(ISERROR(VLOOKUP($U27,Calendário!$T$97:$V$106,3,FALSE))),VLOOKUP($U27,Calendário!$T$97:$V$106,3,FALSE),"--")))))</f>
        <v>--</v>
      </c>
      <c r="AC27" t="str">
        <f>IF(NOT(ISERROR(VLOOKUP($U27,Calendário!$X$97:$Z$106,3,FALSE))),VLOOKUP($U27,Calendário!$X$97:$Z$106,3,FALSE),"--")</f>
        <v>--</v>
      </c>
      <c r="AD27" s="209" t="str">
        <f>IF(NOT(ISERROR(VLOOKUP($U27,Calendário!$D$7:$F$56,2,FALSE))),VLOOKUP($U27,Calendário!$D$7:$F$56,2,FALSE),IF(NOT(ISERROR(VLOOKUP($U27,Calendário!$H$7:$J$56,2,FALSE))),VLOOKUP($U27,Calendário!$H$7:$J$56,2,FALSE),IF(NOT(ISERROR(VLOOKUP($U27,Calendário!$L$7:$N$56,2,FALSE))),VLOOKUP($U27,Calendário!$L$7:$N$56,2,FALSE),IF(NOT(ISERROR(VLOOKUP($U27,Calendário!$P$7:$R$56,2,FALSE))),VLOOKUP($U27,Calendário!$P$7:$R$56,2,FALSE),IF(NOT(ISERROR(VLOOKUP($U27,Calendário!$T$7:$V$56,2,FALSE))),VLOOKUP($U27,Calendário!$T$7:$V$56,2,FALSE),"--")))))</f>
        <v>--</v>
      </c>
      <c r="AE27" t="str">
        <f>IF(NOT(ISERROR(VLOOKUP($U27,Calendário!$X$7:$Z$51,2,FALSE))),VLOOKUP($U27,Calendário!$X$7:$Z$51,2,FALSE),"--")</f>
        <v>--</v>
      </c>
      <c r="AF27" t="str">
        <f>IF(NOT(ISERROR(VLOOKUP($U27,Calendário!$D$57:$F$76,2,FALSE))),VLOOKUP($U27,Calendário!$D$57:$F$76,2,FALSE),IF(NOT(ISERROR(VLOOKUP($U27,Calendário!$H$57:$J$76,2,FALSE))),VLOOKUP($U27,Calendário!$H$57:$J$76,2,FALSE),IF(NOT(ISERROR(VLOOKUP($U27,Calendário!$L$57:$N$76,2,FALSE))),VLOOKUP($U27,Calendário!$L$57:$N$76,2,FALSE),IF(NOT(ISERROR(VLOOKUP($U27,Calendário!$P$57:$R$76,2,FALSE))),VLOOKUP($U27,Calendário!$P$57:$R$76,2,FALSE),IF(NOT(ISERROR(VLOOKUP($U27,Calendário!$T$57:$V$76,2,FALSE))),VLOOKUP($U27,Calendário!$T$57:$V$76,2,FALSE),"--")))))</f>
        <v>--</v>
      </c>
      <c r="AG27" t="str">
        <f>IF(NOT(ISERROR(VLOOKUP($U27,Calendário!$X$57:$Z$76,2,FALSE))),VLOOKUP($U27,Calendário!$X$57:$Z$76,2,FALSE),"--")</f>
        <v>--</v>
      </c>
      <c r="AH27" t="str">
        <f>IF(NOT(ISERROR(VLOOKUP($U27,Calendário!$D$87:$F$96,2,FALSE))),VLOOKUP($U27,Calendário!$D$87:$F$96,2,FALSE),IF(NOT(ISERROR(VLOOKUP($U27,Calendário!$H$87:$J$96,2,FALSE))),VLOOKUP($U27,Calendário!$H$87:$J$96,2,FALSE),IF(NOT(ISERROR(VLOOKUP($U27,Calendário!$L$87:$N$96,2,FALSE))),VLOOKUP($U27,Calendário!$L$87:$N$96,2,FALSE),IF(NOT(ISERROR(VLOOKUP($U27,Calendário!$P$87:$R$96,2,FALSE))),VLOOKUP($U27,Calendário!$P$87:$R$96,2,FALSE),IF(NOT(ISERROR(VLOOKUP($U27,Calendário!$T$87:$V$96,2,FALSE))),VLOOKUP($U27,Calendário!$T$87:$V$96,2,FALSE),"--")))))</f>
        <v>--</v>
      </c>
      <c r="AI27" t="str">
        <f>IF(NOT(ISERROR(VLOOKUP($U27,Calendário!$X$87:$Z$96,2,FALSE))),VLOOKUP($U27,Calendário!$X$87:$Z$96,2,FALSE),"--")</f>
        <v>--</v>
      </c>
      <c r="AJ27" t="str">
        <f>IF(NOT(ISERROR(VLOOKUP($U27,Calendário!$D$97:$F$106,2,FALSE))),VLOOKUP($U27,Calendário!$D$97:$F$106,2,FALSE),IF(NOT(ISERROR(VLOOKUP($U27,Calendário!$H$97:$J$106,2,FALSE))),VLOOKUP($U27,Calendário!$H$97:$J$106,2,FALSE),IF(NOT(ISERROR(VLOOKUP($U27,Calendário!$L$97:$N$106,2,FALSE))),VLOOKUP($U27,Calendário!$L$97:$N$106,2,FALSE),IF(NOT(ISERROR(VLOOKUP($U27,Calendário!$P$97:$R$106,2,FALSE))),VLOOKUP($U27,Calendário!$P$97:$R$106,2,FALSE),IF(NOT(ISERROR(VLOOKUP($U27,Calendário!$T$97:$V$106,2,FALSE))),VLOOKUP($U27,Calendário!$T$97:$V$106,2,FALSE),"--")))))</f>
        <v>--</v>
      </c>
      <c r="AK27" t="str">
        <f>IF(NOT(ISERROR(VLOOKUP($U27,Calendário!$X$97:$Z$106,2,FALSE))),VLOOKUP($U27,Calendário!$X$97:$Z$106,2,FALSE),"--")</f>
        <v>--</v>
      </c>
    </row>
    <row r="28" spans="2:37" ht="15" hidden="1" customHeight="1" x14ac:dyDescent="0.2">
      <c r="B28" s="149"/>
      <c r="C28" s="148" t="str">
        <f t="shared" ref="C28" si="20">IF(V28&lt;&gt;"--",V28,W28)</f>
        <v>--</v>
      </c>
      <c r="D28" s="39" t="str">
        <f t="shared" ref="D28" si="21">IF(AD28&lt;&gt;"--",AD28,AE28)</f>
        <v>--</v>
      </c>
      <c r="E28" s="216"/>
      <c r="F28" s="239"/>
      <c r="G28" s="148" t="str">
        <f t="shared" ref="G28" si="22">IF(X28&lt;&gt;"--",X28,Y28)</f>
        <v>--</v>
      </c>
      <c r="H28" s="39" t="str">
        <f t="shared" ref="H28" si="23">IF(AF28&lt;&gt;"--",AF28,AG28)</f>
        <v>--</v>
      </c>
      <c r="I28" s="66"/>
      <c r="J28" s="244"/>
      <c r="K28" s="148" t="str">
        <f>IF(Z28&lt;&gt;"--",Z28,AA28)</f>
        <v>--</v>
      </c>
      <c r="L28" s="39" t="str">
        <f>IF(AH28&lt;&gt;"--",AH28,AI28)</f>
        <v>--</v>
      </c>
      <c r="M28" s="238"/>
      <c r="N28" s="66"/>
      <c r="O28" s="148" t="str">
        <f>IF(AB28&lt;&gt;"--",AB28,AC28)</f>
        <v>--</v>
      </c>
      <c r="P28" s="39" t="str">
        <f>IF(AJ28&lt;&gt;"--",AJ28,AK28)</f>
        <v>--</v>
      </c>
      <c r="Q28" s="244"/>
      <c r="R28" s="66"/>
      <c r="S28" s="140"/>
      <c r="V28" s="209" t="str">
        <f>IF(NOT(ISERROR(VLOOKUP($U28,Calendário!$D$7:$F$56,3,FALSE))),VLOOKUP($U28,Calendário!$D$7:$F$56,3,FALSE),IF(NOT(ISERROR(VLOOKUP($U28,Calendário!$H$7:$J$56,3,FALSE))),VLOOKUP($U28,Calendário!$H$7:$J$56,3,FALSE),IF(NOT(ISERROR(VLOOKUP($U28,Calendário!$L$7:$N$56,3,FALSE))),VLOOKUP($U28,Calendário!$L$7:$N$56,3,FALSE),IF(NOT(ISERROR(VLOOKUP($U28,Calendário!$P$7:$R$56,3,FALSE))),VLOOKUP($U28,Calendário!$P$7:$R$56,3,FALSE),IF(NOT(ISERROR(VLOOKUP($U28,Calendário!$T$7:$V$56,3,FALSE))),VLOOKUP($U28,Calendário!$T$7:$V$56,3,FALSE),"--")))))</f>
        <v>--</v>
      </c>
      <c r="W28" t="str">
        <f>IF(NOT(ISERROR(VLOOKUP($U28,Calendário!$X$7:$Z$51,3,FALSE))),VLOOKUP($U28,Calendário!$X$7:$Z$51,3,FALSE),"--")</f>
        <v>--</v>
      </c>
      <c r="X28" s="209" t="str">
        <f>IF(NOT(ISERROR(VLOOKUP($U28,Calendário!$D$57:$F$76,3,FALSE))),VLOOKUP($U28,Calendário!$D$57:$F$76,3,FALSE),IF(NOT(ISERROR(VLOOKUP($U28,Calendário!$H$57:$J$76,3,FALSE))),VLOOKUP($U28,Calendário!$H$57:$J$76,3,FALSE),IF(NOT(ISERROR(VLOOKUP($U28,Calendário!$L$57:$N$76,3,FALSE))),VLOOKUP($U28,Calendário!$L$57:$N$76,3,FALSE),IF(NOT(ISERROR(VLOOKUP($U28,Calendário!$P$57:$R$76,3,FALSE))),VLOOKUP($U28,Calendário!$P$57:$R$76,3,FALSE),IF(NOT(ISERROR(VLOOKUP($U28,Calendário!$T$57:$V$76,3,FALSE))),VLOOKUP($U28,Calendário!$T$57:$V$76,3,FALSE),"--")))))</f>
        <v>--</v>
      </c>
      <c r="Y28" t="str">
        <f>IF(NOT(ISERROR(VLOOKUP($U28,Calendário!$X$57:$Z$76,3,FALSE))),VLOOKUP($U28,Calendário!$X$57:$Z$76,3,FALSE),"--")</f>
        <v>--</v>
      </c>
      <c r="Z28" s="209" t="str">
        <f>IF(NOT(ISERROR(VLOOKUP($U28,Calendário!$D$87:$F$96,3,FALSE))),VLOOKUP($U28,Calendário!$D$87:$F$96,3,FALSE),IF(NOT(ISERROR(VLOOKUP($U28,Calendário!$H$87:$J$96,3,FALSE))),VLOOKUP($U28,Calendário!$H$87:$J$96,3,FALSE),IF(NOT(ISERROR(VLOOKUP($U28,Calendário!$L$87:$N$96,3,FALSE))),VLOOKUP($U28,Calendário!$L$87:$N$96,3,FALSE),IF(NOT(ISERROR(VLOOKUP($U28,Calendário!$P$87:$R$96,3,FALSE))),VLOOKUP($U28,Calendário!$P$87:$R$96,3,FALSE),IF(NOT(ISERROR(VLOOKUP($U28,Calendário!$T$87:$V$96,3,FALSE))),VLOOKUP($U28,Calendário!$T$87:$V$96,3,FALSE),"--")))))</f>
        <v>--</v>
      </c>
      <c r="AA28" t="str">
        <f>IF(NOT(ISERROR(VLOOKUP($U28,Calendário!$X$87:$Z$96,3,FALSE))),VLOOKUP($U28,Calendário!$X$87:$Z$96,3,FALSE),"--")</f>
        <v>--</v>
      </c>
      <c r="AB28" t="str">
        <f>IF(NOT(ISERROR(VLOOKUP($U28,Calendário!$D$97:$F$106,3,FALSE))),VLOOKUP($U28,Calendário!$D$97:$F$106,3,FALSE),IF(NOT(ISERROR(VLOOKUP($U28,Calendário!$H$97:$J$106,3,FALSE))),VLOOKUP($U28,Calendário!$H$97:$J$106,3,FALSE),IF(NOT(ISERROR(VLOOKUP($U28,Calendário!$L$97:$N$106,3,FALSE))),VLOOKUP($U28,Calendário!$L$97:$N$106,3,FALSE),IF(NOT(ISERROR(VLOOKUP($U28,Calendário!$P$97:$R$106,3,FALSE))),VLOOKUP($U28,Calendário!$P$97:$R$106,3,FALSE),IF(NOT(ISERROR(VLOOKUP($U28,Calendário!$T$97:$V$106,3,FALSE))),VLOOKUP($U28,Calendário!$T$97:$V$106,3,FALSE),"--")))))</f>
        <v>--</v>
      </c>
      <c r="AC28" t="str">
        <f>IF(NOT(ISERROR(VLOOKUP($U28,Calendário!$X$97:$Z$106,3,FALSE))),VLOOKUP($U28,Calendário!$X$97:$Z$106,3,FALSE),"--")</f>
        <v>--</v>
      </c>
      <c r="AD28" s="209" t="str">
        <f>IF(NOT(ISERROR(VLOOKUP($U28,Calendário!$D$7:$F$56,2,FALSE))),VLOOKUP($U28,Calendário!$D$7:$F$56,2,FALSE),IF(NOT(ISERROR(VLOOKUP($U28,Calendário!$H$7:$J$56,2,FALSE))),VLOOKUP($U28,Calendário!$H$7:$J$56,2,FALSE),IF(NOT(ISERROR(VLOOKUP($U28,Calendário!$L$7:$N$56,2,FALSE))),VLOOKUP($U28,Calendário!$L$7:$N$56,2,FALSE),IF(NOT(ISERROR(VLOOKUP($U28,Calendário!$P$7:$R$56,2,FALSE))),VLOOKUP($U28,Calendário!$P$7:$R$56,2,FALSE),IF(NOT(ISERROR(VLOOKUP($U28,Calendário!$T$7:$V$56,2,FALSE))),VLOOKUP($U28,Calendário!$T$7:$V$56,2,FALSE),"--")))))</f>
        <v>--</v>
      </c>
      <c r="AE28" t="str">
        <f>IF(NOT(ISERROR(VLOOKUP($U28,Calendário!$X$7:$Z$51,2,FALSE))),VLOOKUP($U28,Calendário!$X$7:$Z$51,2,FALSE),"--")</f>
        <v>--</v>
      </c>
      <c r="AF28" t="str">
        <f>IF(NOT(ISERROR(VLOOKUP($U28,Calendário!$D$57:$F$76,2,FALSE))),VLOOKUP($U28,Calendário!$D$57:$F$76,2,FALSE),IF(NOT(ISERROR(VLOOKUP($U28,Calendário!$H$57:$J$76,2,FALSE))),VLOOKUP($U28,Calendário!$H$57:$J$76,2,FALSE),IF(NOT(ISERROR(VLOOKUP($U28,Calendário!$L$57:$N$76,2,FALSE))),VLOOKUP($U28,Calendário!$L$57:$N$76,2,FALSE),IF(NOT(ISERROR(VLOOKUP($U28,Calendário!$P$57:$R$76,2,FALSE))),VLOOKUP($U28,Calendário!$P$57:$R$76,2,FALSE),IF(NOT(ISERROR(VLOOKUP($U28,Calendário!$T$57:$V$76,2,FALSE))),VLOOKUP($U28,Calendário!$T$57:$V$76,2,FALSE),"--")))))</f>
        <v>--</v>
      </c>
      <c r="AG28" t="str">
        <f>IF(NOT(ISERROR(VLOOKUP($U28,Calendário!$X$57:$Z$76,2,FALSE))),VLOOKUP($U28,Calendário!$X$57:$Z$76,2,FALSE),"--")</f>
        <v>--</v>
      </c>
      <c r="AH28" t="str">
        <f>IF(NOT(ISERROR(VLOOKUP($U28,Calendário!$D$87:$F$96,2,FALSE))),VLOOKUP($U28,Calendário!$D$87:$F$96,2,FALSE),IF(NOT(ISERROR(VLOOKUP($U28,Calendário!$H$87:$J$96,2,FALSE))),VLOOKUP($U28,Calendário!$H$87:$J$96,2,FALSE),IF(NOT(ISERROR(VLOOKUP($U28,Calendário!$L$87:$N$96,2,FALSE))),VLOOKUP($U28,Calendário!$L$87:$N$96,2,FALSE),IF(NOT(ISERROR(VLOOKUP($U28,Calendário!$P$87:$R$96,2,FALSE))),VLOOKUP($U28,Calendário!$P$87:$R$96,2,FALSE),IF(NOT(ISERROR(VLOOKUP($U28,Calendário!$T$87:$V$96,2,FALSE))),VLOOKUP($U28,Calendário!$T$87:$V$96,2,FALSE),"--")))))</f>
        <v>--</v>
      </c>
      <c r="AI28" t="str">
        <f>IF(NOT(ISERROR(VLOOKUP($U28,Calendário!$X$87:$Z$96,2,FALSE))),VLOOKUP($U28,Calendário!$X$87:$Z$96,2,FALSE),"--")</f>
        <v>--</v>
      </c>
      <c r="AJ28" t="str">
        <f>IF(NOT(ISERROR(VLOOKUP($U28,Calendário!$D$97:$F$106,2,FALSE))),VLOOKUP($U28,Calendário!$D$97:$F$106,2,FALSE),IF(NOT(ISERROR(VLOOKUP($U28,Calendário!$H$97:$J$106,2,FALSE))),VLOOKUP($U28,Calendário!$H$97:$J$106,2,FALSE),IF(NOT(ISERROR(VLOOKUP($U28,Calendário!$L$97:$N$106,2,FALSE))),VLOOKUP($U28,Calendário!$L$97:$N$106,2,FALSE),IF(NOT(ISERROR(VLOOKUP($U28,Calendário!$P$97:$R$106,2,FALSE))),VLOOKUP($U28,Calendário!$P$97:$R$106,2,FALSE),IF(NOT(ISERROR(VLOOKUP($U28,Calendário!$T$97:$V$106,2,FALSE))),VLOOKUP($U28,Calendário!$T$97:$V$106,2,FALSE),"--")))))</f>
        <v>--</v>
      </c>
      <c r="AK28" t="str">
        <f>IF(NOT(ISERROR(VLOOKUP($U28,Calendário!$X$97:$Z$106,2,FALSE))),VLOOKUP($U28,Calendário!$X$97:$Z$106,2,FALSE),"--")</f>
        <v>--</v>
      </c>
    </row>
    <row r="29" spans="2:37" ht="15" hidden="1" customHeight="1" x14ac:dyDescent="0.2">
      <c r="B29" s="200"/>
      <c r="C29" s="195" t="str">
        <f>IF(V29&lt;&gt;"--",V29,W29)</f>
        <v>--</v>
      </c>
      <c r="D29" s="196" t="str">
        <f t="shared" si="13"/>
        <v>--</v>
      </c>
      <c r="E29" s="222"/>
      <c r="F29" s="243"/>
      <c r="G29" s="195" t="str">
        <f t="shared" si="14"/>
        <v>--</v>
      </c>
      <c r="H29" s="196" t="str">
        <f t="shared" si="15"/>
        <v>--</v>
      </c>
      <c r="I29" s="201"/>
      <c r="J29" s="248"/>
      <c r="K29" s="195" t="str">
        <f>IF(Z29&lt;&gt;"--",Z29,AA29)</f>
        <v>--</v>
      </c>
      <c r="L29" s="196" t="str">
        <f>IF(AH29&lt;&gt;"--",AH29,AI29)</f>
        <v>--</v>
      </c>
      <c r="M29" s="240"/>
      <c r="N29" s="201"/>
      <c r="O29" s="195" t="str">
        <f>IF(AB29&lt;&gt;"--",AB29,AC29)</f>
        <v>--</v>
      </c>
      <c r="P29" s="196" t="str">
        <f>IF(AJ29&lt;&gt;"--",AJ29,AK29)</f>
        <v>--</v>
      </c>
      <c r="Q29" s="246"/>
      <c r="R29" s="201"/>
      <c r="S29" s="140"/>
      <c r="V29" s="209" t="str">
        <f>IF(NOT(ISERROR(VLOOKUP($U29,Calendário!$D$7:$F$56,3,FALSE))),VLOOKUP($U29,Calendário!$D$7:$F$56,3,FALSE),IF(NOT(ISERROR(VLOOKUP($U29,Calendário!$H$7:$J$56,3,FALSE))),VLOOKUP($U29,Calendário!$H$7:$J$56,3,FALSE),IF(NOT(ISERROR(VLOOKUP($U29,Calendário!$L$7:$N$56,3,FALSE))),VLOOKUP($U29,Calendário!$L$7:$N$56,3,FALSE),IF(NOT(ISERROR(VLOOKUP($U29,Calendário!$P$7:$R$56,3,FALSE))),VLOOKUP($U29,Calendário!$P$7:$R$56,3,FALSE),IF(NOT(ISERROR(VLOOKUP($U29,Calendário!$T$7:$V$56,3,FALSE))),VLOOKUP($U29,Calendário!$T$7:$V$56,3,FALSE),"--")))))</f>
        <v>--</v>
      </c>
      <c r="W29" t="str">
        <f>IF(NOT(ISERROR(VLOOKUP($U29,Calendário!$X$7:$Z$51,3,FALSE))),VLOOKUP($U29,Calendário!$X$7:$Z$51,3,FALSE),"--")</f>
        <v>--</v>
      </c>
      <c r="X29" s="209" t="str">
        <f>IF(NOT(ISERROR(VLOOKUP($U29,Calendário!$D$57:$F$76,3,FALSE))),VLOOKUP($U29,Calendário!$D$57:$F$76,3,FALSE),IF(NOT(ISERROR(VLOOKUP($U29,Calendário!$H$57:$J$76,3,FALSE))),VLOOKUP($U29,Calendário!$H$57:$J$76,3,FALSE),IF(NOT(ISERROR(VLOOKUP($U29,Calendário!$L$57:$N$76,3,FALSE))),VLOOKUP($U29,Calendário!$L$57:$N$76,3,FALSE),IF(NOT(ISERROR(VLOOKUP($U29,Calendário!$P$57:$R$76,3,FALSE))),VLOOKUP($U29,Calendário!$P$57:$R$76,3,FALSE),IF(NOT(ISERROR(VLOOKUP($U29,Calendário!$T$57:$V$76,3,FALSE))),VLOOKUP($U29,Calendário!$T$57:$V$76,3,FALSE),"--")))))</f>
        <v>--</v>
      </c>
      <c r="Y29" t="str">
        <f>IF(NOT(ISERROR(VLOOKUP($U29,Calendário!$X$57:$Z$76,3,FALSE))),VLOOKUP($U29,Calendário!$X$57:$Z$76,3,FALSE),"--")</f>
        <v>--</v>
      </c>
      <c r="Z29" s="209" t="str">
        <f>IF(NOT(ISERROR(VLOOKUP($U29,Calendário!$D$87:$F$96,3,FALSE))),VLOOKUP($U29,Calendário!$D$87:$F$96,3,FALSE),IF(NOT(ISERROR(VLOOKUP($U29,Calendário!$H$87:$J$96,3,FALSE))),VLOOKUP($U29,Calendário!$H$87:$J$96,3,FALSE),IF(NOT(ISERROR(VLOOKUP($U29,Calendário!$L$87:$N$96,3,FALSE))),VLOOKUP($U29,Calendário!$L$87:$N$96,3,FALSE),IF(NOT(ISERROR(VLOOKUP($U29,Calendário!$P$87:$R$96,3,FALSE))),VLOOKUP($U29,Calendário!$P$87:$R$96,3,FALSE),IF(NOT(ISERROR(VLOOKUP($U29,Calendário!$T$87:$V$96,3,FALSE))),VLOOKUP($U29,Calendário!$T$87:$V$96,3,FALSE),"--")))))</f>
        <v>--</v>
      </c>
      <c r="AA29" t="str">
        <f>IF(NOT(ISERROR(VLOOKUP($U29,Calendário!$X$87:$Z$96,3,FALSE))),VLOOKUP($U29,Calendário!$X$87:$Z$96,3,FALSE),"--")</f>
        <v>--</v>
      </c>
      <c r="AB29" t="str">
        <f>IF(NOT(ISERROR(VLOOKUP($U29,Calendário!$D$97:$F$106,3,FALSE))),VLOOKUP($U29,Calendário!$D$97:$F$106,3,FALSE),IF(NOT(ISERROR(VLOOKUP($U29,Calendário!$H$97:$J$106,3,FALSE))),VLOOKUP($U29,Calendário!$H$97:$J$106,3,FALSE),IF(NOT(ISERROR(VLOOKUP($U29,Calendário!$L$97:$N$106,3,FALSE))),VLOOKUP($U29,Calendário!$L$97:$N$106,3,FALSE),IF(NOT(ISERROR(VLOOKUP($U29,Calendário!$P$97:$R$106,3,FALSE))),VLOOKUP($U29,Calendário!$P$97:$R$106,3,FALSE),IF(NOT(ISERROR(VLOOKUP($U29,Calendário!$T$97:$V$106,3,FALSE))),VLOOKUP($U29,Calendário!$T$97:$V$106,3,FALSE),"--")))))</f>
        <v>--</v>
      </c>
      <c r="AC29" t="str">
        <f>IF(NOT(ISERROR(VLOOKUP($U29,Calendário!$X$97:$Z$106,3,FALSE))),VLOOKUP($U29,Calendário!$X$97:$Z$106,3,FALSE),"--")</f>
        <v>--</v>
      </c>
      <c r="AD29" s="209" t="str">
        <f>IF(NOT(ISERROR(VLOOKUP($U29,Calendário!$D$7:$F$56,2,FALSE))),VLOOKUP($U29,Calendário!$D$7:$F$56,2,FALSE),IF(NOT(ISERROR(VLOOKUP($U29,Calendário!$H$7:$J$56,2,FALSE))),VLOOKUP($U29,Calendário!$H$7:$J$56,2,FALSE),IF(NOT(ISERROR(VLOOKUP($U29,Calendário!$L$7:$N$56,2,FALSE))),VLOOKUP($U29,Calendário!$L$7:$N$56,2,FALSE),IF(NOT(ISERROR(VLOOKUP($U29,Calendário!$P$7:$R$56,2,FALSE))),VLOOKUP($U29,Calendário!$P$7:$R$56,2,FALSE),IF(NOT(ISERROR(VLOOKUP($U29,Calendário!$T$7:$V$56,2,FALSE))),VLOOKUP($U29,Calendário!$T$7:$V$56,2,FALSE),"--")))))</f>
        <v>--</v>
      </c>
      <c r="AE29" t="str">
        <f>IF(NOT(ISERROR(VLOOKUP($U29,Calendário!$X$7:$Z$51,2,FALSE))),VLOOKUP($U29,Calendário!$X$7:$Z$51,2,FALSE),"--")</f>
        <v>--</v>
      </c>
      <c r="AF29" t="str">
        <f>IF(NOT(ISERROR(VLOOKUP($U29,Calendário!$D$57:$F$76,2,FALSE))),VLOOKUP($U29,Calendário!$D$57:$F$76,2,FALSE),IF(NOT(ISERROR(VLOOKUP($U29,Calendário!$H$57:$J$76,2,FALSE))),VLOOKUP($U29,Calendário!$H$57:$J$76,2,FALSE),IF(NOT(ISERROR(VLOOKUP($U29,Calendário!$L$57:$N$76,2,FALSE))),VLOOKUP($U29,Calendário!$L$57:$N$76,2,FALSE),IF(NOT(ISERROR(VLOOKUP($U29,Calendário!$P$57:$R$76,2,FALSE))),VLOOKUP($U29,Calendário!$P$57:$R$76,2,FALSE),IF(NOT(ISERROR(VLOOKUP($U29,Calendário!$T$57:$V$76,2,FALSE))),VLOOKUP($U29,Calendário!$T$57:$V$76,2,FALSE),"--")))))</f>
        <v>--</v>
      </c>
      <c r="AG29" t="str">
        <f>IF(NOT(ISERROR(VLOOKUP($U29,Calendário!$X$57:$Z$76,2,FALSE))),VLOOKUP($U29,Calendário!$X$57:$Z$76,2,FALSE),"--")</f>
        <v>--</v>
      </c>
      <c r="AH29" t="str">
        <f>IF(NOT(ISERROR(VLOOKUP($U29,Calendário!$D$87:$F$96,2,FALSE))),VLOOKUP($U29,Calendário!$D$87:$F$96,2,FALSE),IF(NOT(ISERROR(VLOOKUP($U29,Calendário!$H$87:$J$96,2,FALSE))),VLOOKUP($U29,Calendário!$H$87:$J$96,2,FALSE),IF(NOT(ISERROR(VLOOKUP($U29,Calendário!$L$87:$N$96,2,FALSE))),VLOOKUP($U29,Calendário!$L$87:$N$96,2,FALSE),IF(NOT(ISERROR(VLOOKUP($U29,Calendário!$P$87:$R$96,2,FALSE))),VLOOKUP($U29,Calendário!$P$87:$R$96,2,FALSE),IF(NOT(ISERROR(VLOOKUP($U29,Calendário!$T$87:$V$96,2,FALSE))),VLOOKUP($U29,Calendário!$T$87:$V$96,2,FALSE),"--")))))</f>
        <v>--</v>
      </c>
      <c r="AI29" t="str">
        <f>IF(NOT(ISERROR(VLOOKUP($U29,Calendário!$X$87:$Z$96,2,FALSE))),VLOOKUP($U29,Calendário!$X$87:$Z$96,2,FALSE),"--")</f>
        <v>--</v>
      </c>
      <c r="AJ29" t="str">
        <f>IF(NOT(ISERROR(VLOOKUP($U29,Calendário!$D$97:$F$106,2,FALSE))),VLOOKUP($U29,Calendário!$D$97:$F$106,2,FALSE),IF(NOT(ISERROR(VLOOKUP($U29,Calendário!$H$97:$J$106,2,FALSE))),VLOOKUP($U29,Calendário!$H$97:$J$106,2,FALSE),IF(NOT(ISERROR(VLOOKUP($U29,Calendário!$L$97:$N$106,2,FALSE))),VLOOKUP($U29,Calendário!$L$97:$N$106,2,FALSE),IF(NOT(ISERROR(VLOOKUP($U29,Calendário!$P$97:$R$106,2,FALSE))),VLOOKUP($U29,Calendário!$P$97:$R$106,2,FALSE),IF(NOT(ISERROR(VLOOKUP($U29,Calendário!$T$97:$V$106,2,FALSE))),VLOOKUP($U29,Calendário!$T$97:$V$106,2,FALSE),"--")))))</f>
        <v>--</v>
      </c>
      <c r="AK29" t="str">
        <f>IF(NOT(ISERROR(VLOOKUP($U29,Calendário!$X$97:$Z$106,2,FALSE))),VLOOKUP($U29,Calendário!$X$97:$Z$106,2,FALSE),"--")</f>
        <v>--</v>
      </c>
    </row>
    <row r="30" spans="2:37" ht="15" x14ac:dyDescent="0.2">
      <c r="B30" s="204" t="s">
        <v>47</v>
      </c>
      <c r="C30" s="207"/>
      <c r="D30" s="207"/>
      <c r="E30" s="224"/>
      <c r="F30" s="241"/>
      <c r="G30" s="207"/>
      <c r="H30" s="207"/>
      <c r="I30" s="207"/>
      <c r="J30" s="241"/>
      <c r="K30" s="207"/>
      <c r="L30" s="207"/>
      <c r="M30" s="241"/>
      <c r="N30" s="207"/>
      <c r="O30" s="207"/>
      <c r="P30" s="207"/>
      <c r="Q30" s="249"/>
      <c r="R30" s="207"/>
      <c r="S30" s="140"/>
      <c r="V30" s="209" t="str">
        <f>IF(NOT(ISERROR(VLOOKUP($U30,Calendário!$D$7:$F$56,3,FALSE))),VLOOKUP($U30,Calendário!$D$7:$F$56,3,FALSE),IF(NOT(ISERROR(VLOOKUP($U30,Calendário!$H$7:$J$56,3,FALSE))),VLOOKUP($U30,Calendário!$H$7:$J$56,3,FALSE),IF(NOT(ISERROR(VLOOKUP($U30,Calendário!$L$7:$N$56,3,FALSE))),VLOOKUP($U30,Calendário!$L$7:$N$56,3,FALSE),IF(NOT(ISERROR(VLOOKUP($U30,Calendário!$P$7:$R$56,3,FALSE))),VLOOKUP($U30,Calendário!$P$7:$R$56,3,FALSE),IF(NOT(ISERROR(VLOOKUP($U30,Calendário!$T$7:$V$56,3,FALSE))),VLOOKUP($U30,Calendário!$T$7:$V$56,3,FALSE),"--")))))</f>
        <v>--</v>
      </c>
      <c r="W30" t="str">
        <f>IF(NOT(ISERROR(VLOOKUP($U30,Calendário!$X$7:$Z$51,3,FALSE))),VLOOKUP($U30,Calendário!$X$7:$Z$51,3,FALSE),"--")</f>
        <v>--</v>
      </c>
      <c r="X30" s="209" t="str">
        <f>IF(NOT(ISERROR(VLOOKUP($U30,Calendário!$D$57:$F$76,3,FALSE))),VLOOKUP($U30,Calendário!$D$57:$F$76,3,FALSE),IF(NOT(ISERROR(VLOOKUP($U30,Calendário!$H$57:$J$76,3,FALSE))),VLOOKUP($U30,Calendário!$H$57:$J$76,3,FALSE),IF(NOT(ISERROR(VLOOKUP($U30,Calendário!$L$57:$N$76,3,FALSE))),VLOOKUP($U30,Calendário!$L$57:$N$76,3,FALSE),IF(NOT(ISERROR(VLOOKUP($U30,Calendário!$P$57:$R$76,3,FALSE))),VLOOKUP($U30,Calendário!$P$57:$R$76,3,FALSE),IF(NOT(ISERROR(VLOOKUP($U30,Calendário!$T$57:$V$76,3,FALSE))),VLOOKUP($U30,Calendário!$T$57:$V$76,3,FALSE),"--")))))</f>
        <v>--</v>
      </c>
      <c r="Y30" t="str">
        <f>IF(NOT(ISERROR(VLOOKUP($U30,Calendário!$X$57:$Z$76,3,FALSE))),VLOOKUP($U30,Calendário!$X$57:$Z$76,3,FALSE),"--")</f>
        <v>--</v>
      </c>
      <c r="Z30" s="209" t="str">
        <f>IF(NOT(ISERROR(VLOOKUP($U30,Calendário!$D$87:$F$96,3,FALSE))),VLOOKUP($U30,Calendário!$D$87:$F$96,3,FALSE),IF(NOT(ISERROR(VLOOKUP($U30,Calendário!$H$87:$J$96,3,FALSE))),VLOOKUP($U30,Calendário!$H$87:$J$96,3,FALSE),IF(NOT(ISERROR(VLOOKUP($U30,Calendário!$L$87:$N$96,3,FALSE))),VLOOKUP($U30,Calendário!$L$87:$N$96,3,FALSE),IF(NOT(ISERROR(VLOOKUP($U30,Calendário!$P$87:$R$96,3,FALSE))),VLOOKUP($U30,Calendário!$P$87:$R$96,3,FALSE),IF(NOT(ISERROR(VLOOKUP($U30,Calendário!$T$87:$V$96,3,FALSE))),VLOOKUP($U30,Calendário!$T$87:$V$96,3,FALSE),"--")))))</f>
        <v>--</v>
      </c>
      <c r="AA30" t="str">
        <f>IF(NOT(ISERROR(VLOOKUP($U30,Calendário!$X$87:$Z$96,3,FALSE))),VLOOKUP($U30,Calendário!$X$87:$Z$96,3,FALSE),"--")</f>
        <v>--</v>
      </c>
      <c r="AB30" t="str">
        <f>IF(NOT(ISERROR(VLOOKUP($U30,Calendário!$D$97:$F$106,3,FALSE))),VLOOKUP($U30,Calendário!$D$97:$F$106,3,FALSE),IF(NOT(ISERROR(VLOOKUP($U30,Calendário!$H$97:$J$106,3,FALSE))),VLOOKUP($U30,Calendário!$H$97:$J$106,3,FALSE),IF(NOT(ISERROR(VLOOKUP($U30,Calendário!$L$97:$N$106,3,FALSE))),VLOOKUP($U30,Calendário!$L$97:$N$106,3,FALSE),IF(NOT(ISERROR(VLOOKUP($U30,Calendário!$P$97:$R$106,3,FALSE))),VLOOKUP($U30,Calendário!$P$97:$R$106,3,FALSE),IF(NOT(ISERROR(VLOOKUP($U30,Calendário!$T$97:$V$106,3,FALSE))),VLOOKUP($U30,Calendário!$T$97:$V$106,3,FALSE),"--")))))</f>
        <v>--</v>
      </c>
      <c r="AC30" t="str">
        <f>IF(NOT(ISERROR(VLOOKUP($U30,Calendário!$X$97:$Z$106,3,FALSE))),VLOOKUP($U30,Calendário!$X$97:$Z$106,3,FALSE),"--")</f>
        <v>--</v>
      </c>
      <c r="AD30" s="209" t="str">
        <f>IF(NOT(ISERROR(VLOOKUP($U30,Calendário!$D$7:$F$56,2,FALSE))),VLOOKUP($U30,Calendário!$D$7:$F$56,2,FALSE),IF(NOT(ISERROR(VLOOKUP($U30,Calendário!$H$7:$J$56,2,FALSE))),VLOOKUP($U30,Calendário!$H$7:$J$56,2,FALSE),IF(NOT(ISERROR(VLOOKUP($U30,Calendário!$L$7:$N$56,2,FALSE))),VLOOKUP($U30,Calendário!$L$7:$N$56,2,FALSE),IF(NOT(ISERROR(VLOOKUP($U30,Calendário!$P$7:$R$56,2,FALSE))),VLOOKUP($U30,Calendário!$P$7:$R$56,2,FALSE),IF(NOT(ISERROR(VLOOKUP($U30,Calendário!$T$7:$V$56,2,FALSE))),VLOOKUP($U30,Calendário!$T$7:$V$56,2,FALSE),"--")))))</f>
        <v>--</v>
      </c>
      <c r="AE30" t="str">
        <f>IF(NOT(ISERROR(VLOOKUP($U30,Calendário!$X$7:$Z$51,2,FALSE))),VLOOKUP($U30,Calendário!$X$7:$Z$51,2,FALSE),"--")</f>
        <v>--</v>
      </c>
      <c r="AF30" t="str">
        <f>IF(NOT(ISERROR(VLOOKUP($U30,Calendário!$D$57:$F$76,2,FALSE))),VLOOKUP($U30,Calendário!$D$57:$F$76,2,FALSE),IF(NOT(ISERROR(VLOOKUP($U30,Calendário!$H$57:$J$76,2,FALSE))),VLOOKUP($U30,Calendário!$H$57:$J$76,2,FALSE),IF(NOT(ISERROR(VLOOKUP($U30,Calendário!$L$57:$N$76,2,FALSE))),VLOOKUP($U30,Calendário!$L$57:$N$76,2,FALSE),IF(NOT(ISERROR(VLOOKUP($U30,Calendário!$P$57:$R$76,2,FALSE))),VLOOKUP($U30,Calendário!$P$57:$R$76,2,FALSE),IF(NOT(ISERROR(VLOOKUP($U30,Calendário!$T$57:$V$76,2,FALSE))),VLOOKUP($U30,Calendário!$T$57:$V$76,2,FALSE),"--")))))</f>
        <v>--</v>
      </c>
      <c r="AG30" t="str">
        <f>IF(NOT(ISERROR(VLOOKUP($U30,Calendário!$X$57:$Z$76,2,FALSE))),VLOOKUP($U30,Calendário!$X$57:$Z$76,2,FALSE),"--")</f>
        <v>--</v>
      </c>
      <c r="AH30" t="str">
        <f>IF(NOT(ISERROR(VLOOKUP($U30,Calendário!$D$87:$F$96,2,FALSE))),VLOOKUP($U30,Calendário!$D$87:$F$96,2,FALSE),IF(NOT(ISERROR(VLOOKUP($U30,Calendário!$H$87:$J$96,2,FALSE))),VLOOKUP($U30,Calendário!$H$87:$J$96,2,FALSE),IF(NOT(ISERROR(VLOOKUP($U30,Calendário!$L$87:$N$96,2,FALSE))),VLOOKUP($U30,Calendário!$L$87:$N$96,2,FALSE),IF(NOT(ISERROR(VLOOKUP($U30,Calendário!$P$87:$R$96,2,FALSE))),VLOOKUP($U30,Calendário!$P$87:$R$96,2,FALSE),IF(NOT(ISERROR(VLOOKUP($U30,Calendário!$T$87:$V$96,2,FALSE))),VLOOKUP($U30,Calendário!$T$87:$V$96,2,FALSE),"--")))))</f>
        <v>--</v>
      </c>
      <c r="AI30" t="str">
        <f>IF(NOT(ISERROR(VLOOKUP($U30,Calendário!$X$87:$Z$96,2,FALSE))),VLOOKUP($U30,Calendário!$X$87:$Z$96,2,FALSE),"--")</f>
        <v>--</v>
      </c>
      <c r="AJ30" t="str">
        <f>IF(NOT(ISERROR(VLOOKUP($U30,Calendário!$D$97:$F$106,2,FALSE))),VLOOKUP($U30,Calendário!$D$97:$F$106,2,FALSE),IF(NOT(ISERROR(VLOOKUP($U30,Calendário!$H$97:$J$106,2,FALSE))),VLOOKUP($U30,Calendário!$H$97:$J$106,2,FALSE),IF(NOT(ISERROR(VLOOKUP($U30,Calendário!$L$97:$N$106,2,FALSE))),VLOOKUP($U30,Calendário!$L$97:$N$106,2,FALSE),IF(NOT(ISERROR(VLOOKUP($U30,Calendário!$P$97:$R$106,2,FALSE))),VLOOKUP($U30,Calendário!$P$97:$R$106,2,FALSE),IF(NOT(ISERROR(VLOOKUP($U30,Calendário!$T$97:$V$106,2,FALSE))),VLOOKUP($U30,Calendário!$T$97:$V$106,2,FALSE),"--")))))</f>
        <v>--</v>
      </c>
      <c r="AK30" t="str">
        <f>IF(NOT(ISERROR(VLOOKUP($U30,Calendário!$X$97:$Z$106,2,FALSE))),VLOOKUP($U30,Calendário!$X$97:$Z$106,2,FALSE),"--")</f>
        <v>--</v>
      </c>
    </row>
    <row r="31" spans="2:37" ht="15" x14ac:dyDescent="0.2">
      <c r="B31" s="198" t="s">
        <v>28</v>
      </c>
      <c r="C31" s="192">
        <f t="shared" ref="C31:C37" si="24">IF(V31&lt;&gt;"--",V31,W31)</f>
        <v>42676</v>
      </c>
      <c r="D31" s="193" t="str">
        <f t="shared" ref="D31:D37" si="25">IF(AD31&lt;&gt;"--",AD31,AE31)</f>
        <v>9h30</v>
      </c>
      <c r="E31" s="221"/>
      <c r="F31" s="242" t="s">
        <v>98</v>
      </c>
      <c r="G31" s="192">
        <f t="shared" ref="G31:G37" si="26">IF(X31&lt;&gt;"--",X31,Y31)</f>
        <v>42718</v>
      </c>
      <c r="H31" s="203" t="str">
        <f t="shared" ref="H31:H37" si="27">IF(AF31&lt;&gt;"--",AF31,AG31)</f>
        <v>9h30</v>
      </c>
      <c r="I31" s="191"/>
      <c r="J31" s="247" t="s">
        <v>98</v>
      </c>
      <c r="K31" s="192">
        <f t="shared" ref="K31:K42" si="28">IF(Z31&lt;&gt;"--",Z31,AA31)</f>
        <v>42746</v>
      </c>
      <c r="L31" s="193" t="str">
        <f t="shared" ref="L31:L42" si="29">IF(AH31&lt;&gt;"--",AH31,AI31)</f>
        <v>10h</v>
      </c>
      <c r="M31" s="242">
        <v>2.0099999999999998</v>
      </c>
      <c r="N31" s="202" t="s">
        <v>174</v>
      </c>
      <c r="O31" s="192">
        <f t="shared" ref="O31:O42" si="30">IF(AB31&lt;&gt;"--",AB31,AC31)</f>
        <v>42760</v>
      </c>
      <c r="P31" s="203" t="str">
        <f t="shared" ref="P31:P42" si="31">IF(AJ31&lt;&gt;"--",AJ31,AK31)</f>
        <v>10h</v>
      </c>
      <c r="Q31" s="242">
        <v>2.0099999999999998</v>
      </c>
      <c r="R31" s="202" t="s">
        <v>174</v>
      </c>
      <c r="S31" s="140"/>
      <c r="U31" s="57" t="s">
        <v>77</v>
      </c>
      <c r="V31" s="209">
        <f>IF(NOT(ISERROR(VLOOKUP($U31,Calendário!$D$7:$F$56,3,FALSE))),VLOOKUP($U31,Calendário!$D$7:$F$56,3,FALSE),IF(NOT(ISERROR(VLOOKUP($U31,Calendário!$H$7:$J$56,3,FALSE))),VLOOKUP($U31,Calendário!$H$7:$J$56,3,FALSE),IF(NOT(ISERROR(VLOOKUP($U31,Calendário!$L$7:$N$56,3,FALSE))),VLOOKUP($U31,Calendário!$L$7:$N$56,3,FALSE),IF(NOT(ISERROR(VLOOKUP($U31,Calendário!$P$7:$R$56,3,FALSE))),VLOOKUP($U31,Calendário!$P$7:$R$56,3,FALSE),IF(NOT(ISERROR(VLOOKUP($U31,Calendário!$T$7:$V$56,3,FALSE))),VLOOKUP($U31,Calendário!$T$7:$V$56,3,FALSE),"--")))))</f>
        <v>42676</v>
      </c>
      <c r="W31" t="str">
        <f>IF(NOT(ISERROR(VLOOKUP($U31,Calendário!$X$7:$Z$51,3,FALSE))),VLOOKUP($U31,Calendário!$X$7:$Z$51,3,FALSE),"--")</f>
        <v>--</v>
      </c>
      <c r="X31" s="209">
        <f>IF(NOT(ISERROR(VLOOKUP($U31,Calendário!$D$57:$F$76,3,FALSE))),VLOOKUP($U31,Calendário!$D$57:$F$76,3,FALSE),IF(NOT(ISERROR(VLOOKUP($U31,Calendário!$H$57:$J$76,3,FALSE))),VLOOKUP($U31,Calendário!$H$57:$J$76,3,FALSE),IF(NOT(ISERROR(VLOOKUP($U31,Calendário!$L$57:$N$76,3,FALSE))),VLOOKUP($U31,Calendário!$L$57:$N$76,3,FALSE),IF(NOT(ISERROR(VLOOKUP($U31,Calendário!$P$57:$R$76,3,FALSE))),VLOOKUP($U31,Calendário!$P$57:$R$76,3,FALSE),IF(NOT(ISERROR(VLOOKUP($U31,Calendário!$T$57:$V$76,3,FALSE))),VLOOKUP($U31,Calendário!$T$57:$V$76,3,FALSE),"--")))))</f>
        <v>42718</v>
      </c>
      <c r="Y31" t="str">
        <f>IF(NOT(ISERROR(VLOOKUP($U31,Calendário!$X$57:$Z$76,3,FALSE))),VLOOKUP($U31,Calendário!$X$57:$Z$76,3,FALSE),"--")</f>
        <v>--</v>
      </c>
      <c r="Z31" s="209">
        <f>IF(NOT(ISERROR(VLOOKUP($U31,Calendário!$D$87:$F$96,3,FALSE))),VLOOKUP($U31,Calendário!$D$87:$F$96,3,FALSE),IF(NOT(ISERROR(VLOOKUP($U31,Calendário!$H$87:$J$96,3,FALSE))),VLOOKUP($U31,Calendário!$H$87:$J$96,3,FALSE),IF(NOT(ISERROR(VLOOKUP($U31,Calendário!$L$87:$N$96,3,FALSE))),VLOOKUP($U31,Calendário!$L$87:$N$96,3,FALSE),IF(NOT(ISERROR(VLOOKUP($U31,Calendário!$P$87:$R$96,3,FALSE))),VLOOKUP($U31,Calendário!$P$87:$R$96,3,FALSE),IF(NOT(ISERROR(VLOOKUP($U31,Calendário!$T$87:$V$96,3,FALSE))),VLOOKUP($U31,Calendário!$T$87:$V$96,3,FALSE),"--")))))</f>
        <v>42746</v>
      </c>
      <c r="AA31" t="str">
        <f>IF(NOT(ISERROR(VLOOKUP($U31,Calendário!$X$87:$Z$96,3,FALSE))),VLOOKUP($U31,Calendário!$X$87:$Z$96,3,FALSE),"--")</f>
        <v>--</v>
      </c>
      <c r="AB31">
        <f>IF(NOT(ISERROR(VLOOKUP($U31,Calendário!$D$97:$F$106,3,FALSE))),VLOOKUP($U31,Calendário!$D$97:$F$106,3,FALSE),IF(NOT(ISERROR(VLOOKUP($U31,Calendário!$H$97:$J$106,3,FALSE))),VLOOKUP($U31,Calendário!$H$97:$J$106,3,FALSE),IF(NOT(ISERROR(VLOOKUP($U31,Calendário!$L$97:$N$106,3,FALSE))),VLOOKUP($U31,Calendário!$L$97:$N$106,3,FALSE),IF(NOT(ISERROR(VLOOKUP($U31,Calendário!$P$97:$R$106,3,FALSE))),VLOOKUP($U31,Calendário!$P$97:$R$106,3,FALSE),IF(NOT(ISERROR(VLOOKUP($U31,Calendário!$T$97:$V$106,3,FALSE))),VLOOKUP($U31,Calendário!$T$97:$V$106,3,FALSE),"--")))))</f>
        <v>42760</v>
      </c>
      <c r="AC31" t="str">
        <f>IF(NOT(ISERROR(VLOOKUP($U31,Calendário!$X$97:$Z$106,3,FALSE))),VLOOKUP($U31,Calendário!$X$97:$Z$106,3,FALSE),"--")</f>
        <v>--</v>
      </c>
      <c r="AD31" s="209" t="str">
        <f>IF(NOT(ISERROR(VLOOKUP($U31,Calendário!$D$7:$F$56,2,FALSE))),VLOOKUP($U31,Calendário!$D$7:$F$56,2,FALSE),IF(NOT(ISERROR(VLOOKUP($U31,Calendário!$H$7:$J$56,2,FALSE))),VLOOKUP($U31,Calendário!$H$7:$J$56,2,FALSE),IF(NOT(ISERROR(VLOOKUP($U31,Calendário!$L$7:$N$56,2,FALSE))),VLOOKUP($U31,Calendário!$L$7:$N$56,2,FALSE),IF(NOT(ISERROR(VLOOKUP($U31,Calendário!$P$7:$R$56,2,FALSE))),VLOOKUP($U31,Calendário!$P$7:$R$56,2,FALSE),IF(NOT(ISERROR(VLOOKUP($U31,Calendário!$T$7:$V$56,2,FALSE))),VLOOKUP($U31,Calendário!$T$7:$V$56,2,FALSE),"--")))))</f>
        <v>9h30</v>
      </c>
      <c r="AE31" t="str">
        <f>IF(NOT(ISERROR(VLOOKUP($U31,Calendário!$X$7:$Z$51,2,FALSE))),VLOOKUP($U31,Calendário!$X$7:$Z$51,2,FALSE),"--")</f>
        <v>--</v>
      </c>
      <c r="AF31" t="str">
        <f>IF(NOT(ISERROR(VLOOKUP($U31,Calendário!$D$57:$F$76,2,FALSE))),VLOOKUP($U31,Calendário!$D$57:$F$76,2,FALSE),IF(NOT(ISERROR(VLOOKUP($U31,Calendário!$H$57:$J$76,2,FALSE))),VLOOKUP($U31,Calendário!$H$57:$J$76,2,FALSE),IF(NOT(ISERROR(VLOOKUP($U31,Calendário!$L$57:$N$76,2,FALSE))),VLOOKUP($U31,Calendário!$L$57:$N$76,2,FALSE),IF(NOT(ISERROR(VLOOKUP($U31,Calendário!$P$57:$R$76,2,FALSE))),VLOOKUP($U31,Calendário!$P$57:$R$76,2,FALSE),IF(NOT(ISERROR(VLOOKUP($U31,Calendário!$T$57:$V$76,2,FALSE))),VLOOKUP($U31,Calendário!$T$57:$V$76,2,FALSE),"--")))))</f>
        <v>9h30</v>
      </c>
      <c r="AG31" t="str">
        <f>IF(NOT(ISERROR(VLOOKUP($U31,Calendário!$X$57:$Z$76,2,FALSE))),VLOOKUP($U31,Calendário!$X$57:$Z$76,2,FALSE),"--")</f>
        <v>--</v>
      </c>
      <c r="AH31" t="str">
        <f>IF(NOT(ISERROR(VLOOKUP($U31,Calendário!$D$87:$F$96,2,FALSE))),VLOOKUP($U31,Calendário!$D$87:$F$96,2,FALSE),IF(NOT(ISERROR(VLOOKUP($U31,Calendário!$H$87:$J$96,2,FALSE))),VLOOKUP($U31,Calendário!$H$87:$J$96,2,FALSE),IF(NOT(ISERROR(VLOOKUP($U31,Calendário!$L$87:$N$96,2,FALSE))),VLOOKUP($U31,Calendário!$L$87:$N$96,2,FALSE),IF(NOT(ISERROR(VLOOKUP($U31,Calendário!$P$87:$R$96,2,FALSE))),VLOOKUP($U31,Calendário!$P$87:$R$96,2,FALSE),IF(NOT(ISERROR(VLOOKUP($U31,Calendário!$T$87:$V$96,2,FALSE))),VLOOKUP($U31,Calendário!$T$87:$V$96,2,FALSE),"--")))))</f>
        <v>10h</v>
      </c>
      <c r="AI31" t="str">
        <f>IF(NOT(ISERROR(VLOOKUP($U31,Calendário!$X$87:$Z$96,2,FALSE))),VLOOKUP($U31,Calendário!$X$87:$Z$96,2,FALSE),"--")</f>
        <v>--</v>
      </c>
      <c r="AJ31" t="str">
        <f>IF(NOT(ISERROR(VLOOKUP($U31,Calendário!$D$97:$F$106,2,FALSE))),VLOOKUP($U31,Calendário!$D$97:$F$106,2,FALSE),IF(NOT(ISERROR(VLOOKUP($U31,Calendário!$H$97:$J$106,2,FALSE))),VLOOKUP($U31,Calendário!$H$97:$J$106,2,FALSE),IF(NOT(ISERROR(VLOOKUP($U31,Calendário!$L$97:$N$106,2,FALSE))),VLOOKUP($U31,Calendário!$L$97:$N$106,2,FALSE),IF(NOT(ISERROR(VLOOKUP($U31,Calendário!$P$97:$R$106,2,FALSE))),VLOOKUP($U31,Calendário!$P$97:$R$106,2,FALSE),IF(NOT(ISERROR(VLOOKUP($U31,Calendário!$T$97:$V$106,2,FALSE))),VLOOKUP($U31,Calendário!$T$97:$V$106,2,FALSE),"--")))))</f>
        <v>10h</v>
      </c>
      <c r="AK31" t="str">
        <f>IF(NOT(ISERROR(VLOOKUP($U31,Calendário!$X$97:$Z$106,2,FALSE))),VLOOKUP($U31,Calendário!$X$97:$Z$106,2,FALSE),"--")</f>
        <v>--</v>
      </c>
    </row>
    <row r="32" spans="2:37" ht="15" x14ac:dyDescent="0.2">
      <c r="B32" s="149" t="s">
        <v>29</v>
      </c>
      <c r="C32" s="148">
        <f t="shared" si="24"/>
        <v>42674</v>
      </c>
      <c r="D32" s="39" t="str">
        <f t="shared" si="25"/>
        <v>9h</v>
      </c>
      <c r="E32" s="219"/>
      <c r="F32" s="239" t="s">
        <v>98</v>
      </c>
      <c r="G32" s="148">
        <f t="shared" si="26"/>
        <v>42716</v>
      </c>
      <c r="H32" s="39" t="str">
        <f t="shared" si="27"/>
        <v>9h</v>
      </c>
      <c r="I32" s="116"/>
      <c r="J32" s="244" t="s">
        <v>98</v>
      </c>
      <c r="K32" s="148">
        <f t="shared" si="28"/>
        <v>42739</v>
      </c>
      <c r="L32" s="39" t="str">
        <f t="shared" si="29"/>
        <v>10h</v>
      </c>
      <c r="M32" s="242">
        <v>2.0099999999999998</v>
      </c>
      <c r="N32" s="66" t="s">
        <v>98</v>
      </c>
      <c r="O32" s="148">
        <f t="shared" si="30"/>
        <v>42753</v>
      </c>
      <c r="P32" s="123" t="str">
        <f t="shared" si="31"/>
        <v>10h</v>
      </c>
      <c r="Q32" s="242">
        <v>2.0099999999999998</v>
      </c>
      <c r="R32" s="66" t="s">
        <v>98</v>
      </c>
      <c r="S32" s="140"/>
      <c r="U32" s="57" t="s">
        <v>63</v>
      </c>
      <c r="V32" s="209">
        <f>IF(NOT(ISERROR(VLOOKUP($U32,Calendário!$D$7:$F$56,3,FALSE))),VLOOKUP($U32,Calendário!$D$7:$F$56,3,FALSE),IF(NOT(ISERROR(VLOOKUP($U32,Calendário!$H$7:$J$56,3,FALSE))),VLOOKUP($U32,Calendário!$H$7:$J$56,3,FALSE),IF(NOT(ISERROR(VLOOKUP($U32,Calendário!$L$7:$N$56,3,FALSE))),VLOOKUP($U32,Calendário!$L$7:$N$56,3,FALSE),IF(NOT(ISERROR(VLOOKUP($U32,Calendário!$P$7:$R$56,3,FALSE))),VLOOKUP($U32,Calendário!$P$7:$R$56,3,FALSE),IF(NOT(ISERROR(VLOOKUP($U32,Calendário!$T$7:$V$56,3,FALSE))),VLOOKUP($U32,Calendário!$T$7:$V$56,3,FALSE),"--")))))</f>
        <v>42674</v>
      </c>
      <c r="W32" t="str">
        <f>IF(NOT(ISERROR(VLOOKUP($U32,Calendário!$X$7:$Z$51,3,FALSE))),VLOOKUP($U32,Calendário!$X$7:$Z$51,3,FALSE),"--")</f>
        <v>--</v>
      </c>
      <c r="X32" s="209">
        <f>IF(NOT(ISERROR(VLOOKUP($U32,Calendário!$D$57:$F$76,3,FALSE))),VLOOKUP($U32,Calendário!$D$57:$F$76,3,FALSE),IF(NOT(ISERROR(VLOOKUP($U32,Calendário!$H$57:$J$76,3,FALSE))),VLOOKUP($U32,Calendário!$H$57:$J$76,3,FALSE),IF(NOT(ISERROR(VLOOKUP($U32,Calendário!$L$57:$N$76,3,FALSE))),VLOOKUP($U32,Calendário!$L$57:$N$76,3,FALSE),IF(NOT(ISERROR(VLOOKUP($U32,Calendário!$P$57:$R$76,3,FALSE))),VLOOKUP($U32,Calendário!$P$57:$R$76,3,FALSE),IF(NOT(ISERROR(VLOOKUP($U32,Calendário!$T$57:$V$76,3,FALSE))),VLOOKUP($U32,Calendário!$T$57:$V$76,3,FALSE),"--")))))</f>
        <v>42716</v>
      </c>
      <c r="Y32" t="str">
        <f>IF(NOT(ISERROR(VLOOKUP($U32,Calendário!$X$57:$Z$76,3,FALSE))),VLOOKUP($U32,Calendário!$X$57:$Z$76,3,FALSE),"--")</f>
        <v>--</v>
      </c>
      <c r="Z32" s="209">
        <f>IF(NOT(ISERROR(VLOOKUP($U32,Calendário!$D$87:$F$96,3,FALSE))),VLOOKUP($U32,Calendário!$D$87:$F$96,3,FALSE),IF(NOT(ISERROR(VLOOKUP($U32,Calendário!$H$87:$J$96,3,FALSE))),VLOOKUP($U32,Calendário!$H$87:$J$96,3,FALSE),IF(NOT(ISERROR(VLOOKUP($U32,Calendário!$L$87:$N$96,3,FALSE))),VLOOKUP($U32,Calendário!$L$87:$N$96,3,FALSE),IF(NOT(ISERROR(VLOOKUP($U32,Calendário!$P$87:$R$96,3,FALSE))),VLOOKUP($U32,Calendário!$P$87:$R$96,3,FALSE),IF(NOT(ISERROR(VLOOKUP($U32,Calendário!$T$87:$V$96,3,FALSE))),VLOOKUP($U32,Calendário!$T$87:$V$96,3,FALSE),"--")))))</f>
        <v>42739</v>
      </c>
      <c r="AA32" t="str">
        <f>IF(NOT(ISERROR(VLOOKUP($U32,Calendário!$X$87:$Z$96,3,FALSE))),VLOOKUP($U32,Calendário!$X$87:$Z$96,3,FALSE),"--")</f>
        <v>--</v>
      </c>
      <c r="AB32">
        <f>IF(NOT(ISERROR(VLOOKUP($U32,Calendário!$D$97:$F$106,3,FALSE))),VLOOKUP($U32,Calendário!$D$97:$F$106,3,FALSE),IF(NOT(ISERROR(VLOOKUP($U32,Calendário!$H$97:$J$106,3,FALSE))),VLOOKUP($U32,Calendário!$H$97:$J$106,3,FALSE),IF(NOT(ISERROR(VLOOKUP($U32,Calendário!$L$97:$N$106,3,FALSE))),VLOOKUP($U32,Calendário!$L$97:$N$106,3,FALSE),IF(NOT(ISERROR(VLOOKUP($U32,Calendário!$P$97:$R$106,3,FALSE))),VLOOKUP($U32,Calendário!$P$97:$R$106,3,FALSE),IF(NOT(ISERROR(VLOOKUP($U32,Calendário!$T$97:$V$106,3,FALSE))),VLOOKUP($U32,Calendário!$T$97:$V$106,3,FALSE),"--")))))</f>
        <v>42753</v>
      </c>
      <c r="AC32" t="str">
        <f>IF(NOT(ISERROR(VLOOKUP($U32,Calendário!$X$97:$Z$106,3,FALSE))),VLOOKUP($U32,Calendário!$X$97:$Z$106,3,FALSE),"--")</f>
        <v>--</v>
      </c>
      <c r="AD32" s="209" t="str">
        <f>IF(NOT(ISERROR(VLOOKUP($U32,Calendário!$D$7:$F$56,2,FALSE))),VLOOKUP($U32,Calendário!$D$7:$F$56,2,FALSE),IF(NOT(ISERROR(VLOOKUP($U32,Calendário!$H$7:$J$56,2,FALSE))),VLOOKUP($U32,Calendário!$H$7:$J$56,2,FALSE),IF(NOT(ISERROR(VLOOKUP($U32,Calendário!$L$7:$N$56,2,FALSE))),VLOOKUP($U32,Calendário!$L$7:$N$56,2,FALSE),IF(NOT(ISERROR(VLOOKUP($U32,Calendário!$P$7:$R$56,2,FALSE))),VLOOKUP($U32,Calendário!$P$7:$R$56,2,FALSE),IF(NOT(ISERROR(VLOOKUP($U32,Calendário!$T$7:$V$56,2,FALSE))),VLOOKUP($U32,Calendário!$T$7:$V$56,2,FALSE),"--")))))</f>
        <v>9h</v>
      </c>
      <c r="AE32" t="str">
        <f>IF(NOT(ISERROR(VLOOKUP($U32,Calendário!$X$7:$Z$51,2,FALSE))),VLOOKUP($U32,Calendário!$X$7:$Z$51,2,FALSE),"--")</f>
        <v>--</v>
      </c>
      <c r="AF32" t="str">
        <f>IF(NOT(ISERROR(VLOOKUP($U32,Calendário!$D$57:$F$76,2,FALSE))),VLOOKUP($U32,Calendário!$D$57:$F$76,2,FALSE),IF(NOT(ISERROR(VLOOKUP($U32,Calendário!$H$57:$J$76,2,FALSE))),VLOOKUP($U32,Calendário!$H$57:$J$76,2,FALSE),IF(NOT(ISERROR(VLOOKUP($U32,Calendário!$L$57:$N$76,2,FALSE))),VLOOKUP($U32,Calendário!$L$57:$N$76,2,FALSE),IF(NOT(ISERROR(VLOOKUP($U32,Calendário!$P$57:$R$76,2,FALSE))),VLOOKUP($U32,Calendário!$P$57:$R$76,2,FALSE),IF(NOT(ISERROR(VLOOKUP($U32,Calendário!$T$57:$V$76,2,FALSE))),VLOOKUP($U32,Calendário!$T$57:$V$76,2,FALSE),"--")))))</f>
        <v>9h</v>
      </c>
      <c r="AG32" t="str">
        <f>IF(NOT(ISERROR(VLOOKUP($U32,Calendário!$X$57:$Z$76,2,FALSE))),VLOOKUP($U32,Calendário!$X$57:$Z$76,2,FALSE),"--")</f>
        <v>--</v>
      </c>
      <c r="AH32" t="str">
        <f>IF(NOT(ISERROR(VLOOKUP($U32,Calendário!$D$87:$F$96,2,FALSE))),VLOOKUP($U32,Calendário!$D$87:$F$96,2,FALSE),IF(NOT(ISERROR(VLOOKUP($U32,Calendário!$H$87:$J$96,2,FALSE))),VLOOKUP($U32,Calendário!$H$87:$J$96,2,FALSE),IF(NOT(ISERROR(VLOOKUP($U32,Calendário!$L$87:$N$96,2,FALSE))),VLOOKUP($U32,Calendário!$L$87:$N$96,2,FALSE),IF(NOT(ISERROR(VLOOKUP($U32,Calendário!$P$87:$R$96,2,FALSE))),VLOOKUP($U32,Calendário!$P$87:$R$96,2,FALSE),IF(NOT(ISERROR(VLOOKUP($U32,Calendário!$T$87:$V$96,2,FALSE))),VLOOKUP($U32,Calendário!$T$87:$V$96,2,FALSE),"--")))))</f>
        <v>10h</v>
      </c>
      <c r="AI32" t="str">
        <f>IF(NOT(ISERROR(VLOOKUP($U32,Calendário!$X$87:$Z$96,2,FALSE))),VLOOKUP($U32,Calendário!$X$87:$Z$96,2,FALSE),"--")</f>
        <v>--</v>
      </c>
      <c r="AJ32" t="str">
        <f>IF(NOT(ISERROR(VLOOKUP($U32,Calendário!$D$97:$F$106,2,FALSE))),VLOOKUP($U32,Calendário!$D$97:$F$106,2,FALSE),IF(NOT(ISERROR(VLOOKUP($U32,Calendário!$H$97:$J$106,2,FALSE))),VLOOKUP($U32,Calendário!$H$97:$J$106,2,FALSE),IF(NOT(ISERROR(VLOOKUP($U32,Calendário!$L$97:$N$106,2,FALSE))),VLOOKUP($U32,Calendário!$L$97:$N$106,2,FALSE),IF(NOT(ISERROR(VLOOKUP($U32,Calendário!$P$97:$R$106,2,FALSE))),VLOOKUP($U32,Calendário!$P$97:$R$106,2,FALSE),IF(NOT(ISERROR(VLOOKUP($U32,Calendário!$T$97:$V$106,2,FALSE))),VLOOKUP($U32,Calendário!$T$97:$V$106,2,FALSE),"--")))))</f>
        <v>10h</v>
      </c>
      <c r="AK32" t="str">
        <f>IF(NOT(ISERROR(VLOOKUP($U32,Calendário!$X$97:$Z$106,2,FALSE))),VLOOKUP($U32,Calendário!$X$97:$Z$106,2,FALSE),"--")</f>
        <v>--</v>
      </c>
    </row>
    <row r="33" spans="2:38" ht="15" x14ac:dyDescent="0.2">
      <c r="B33" s="184" t="s">
        <v>30</v>
      </c>
      <c r="C33" s="148" t="str">
        <f t="shared" si="24"/>
        <v>--</v>
      </c>
      <c r="D33" s="39" t="str">
        <f t="shared" si="25"/>
        <v>--</v>
      </c>
      <c r="E33" s="219"/>
      <c r="F33" s="239" t="s">
        <v>60</v>
      </c>
      <c r="G33" s="148">
        <f t="shared" si="26"/>
        <v>42711</v>
      </c>
      <c r="H33" s="39" t="str">
        <f t="shared" si="27"/>
        <v>14h30</v>
      </c>
      <c r="I33" s="115"/>
      <c r="J33" s="244" t="s">
        <v>104</v>
      </c>
      <c r="K33" s="148">
        <f t="shared" si="28"/>
        <v>42738</v>
      </c>
      <c r="L33" s="39" t="str">
        <f t="shared" si="29"/>
        <v>10h</v>
      </c>
      <c r="M33" s="238">
        <v>133</v>
      </c>
      <c r="N33" s="66" t="s">
        <v>104</v>
      </c>
      <c r="O33" s="148">
        <f t="shared" si="30"/>
        <v>42751</v>
      </c>
      <c r="P33" s="123" t="str">
        <f t="shared" si="31"/>
        <v>10h</v>
      </c>
      <c r="Q33" s="238">
        <v>133</v>
      </c>
      <c r="R33" s="66" t="s">
        <v>104</v>
      </c>
      <c r="S33" s="140"/>
      <c r="U33" s="57" t="s">
        <v>71</v>
      </c>
      <c r="V33" s="209" t="str">
        <f>IF(NOT(ISERROR(VLOOKUP($U33,Calendário!$D$7:$F$56,3,FALSE))),VLOOKUP($U33,Calendário!$D$7:$F$56,3,FALSE),IF(NOT(ISERROR(VLOOKUP($U33,Calendário!$H$7:$J$56,3,FALSE))),VLOOKUP($U33,Calendário!$H$7:$J$56,3,FALSE),IF(NOT(ISERROR(VLOOKUP($U33,Calendário!$L$7:$N$56,3,FALSE))),VLOOKUP($U33,Calendário!$L$7:$N$56,3,FALSE),IF(NOT(ISERROR(VLOOKUP($U33,Calendário!$P$7:$R$56,3,FALSE))),VLOOKUP($U33,Calendário!$P$7:$R$56,3,FALSE),IF(NOT(ISERROR(VLOOKUP($U33,Calendário!$T$7:$V$56,3,FALSE))),VLOOKUP($U33,Calendário!$T$7:$V$56,3,FALSE),"--")))))</f>
        <v>--</v>
      </c>
      <c r="W33" t="str">
        <f>IF(NOT(ISERROR(VLOOKUP($U33,Calendário!$X$7:$Z$51,3,FALSE))),VLOOKUP($U33,Calendário!$X$7:$Z$51,3,FALSE),"--")</f>
        <v>--</v>
      </c>
      <c r="X33" s="209">
        <f>IF(NOT(ISERROR(VLOOKUP($U33,Calendário!$D$57:$F$76,3,FALSE))),VLOOKUP($U33,Calendário!$D$57:$F$76,3,FALSE),IF(NOT(ISERROR(VLOOKUP($U33,Calendário!$H$57:$J$76,3,FALSE))),VLOOKUP($U33,Calendário!$H$57:$J$76,3,FALSE),IF(NOT(ISERROR(VLOOKUP($U33,Calendário!$L$57:$N$76,3,FALSE))),VLOOKUP($U33,Calendário!$L$57:$N$76,3,FALSE),IF(NOT(ISERROR(VLOOKUP($U33,Calendário!$P$57:$R$76,3,FALSE))),VLOOKUP($U33,Calendário!$P$57:$R$76,3,FALSE),IF(NOT(ISERROR(VLOOKUP($U33,Calendário!$T$57:$V$76,3,FALSE))),VLOOKUP($U33,Calendário!$T$57:$V$76,3,FALSE),"--")))))</f>
        <v>42711</v>
      </c>
      <c r="Y33" t="str">
        <f>IF(NOT(ISERROR(VLOOKUP($U33,Calendário!$X$57:$Z$76,3,FALSE))),VLOOKUP($U33,Calendário!$X$57:$Z$76,3,FALSE),"--")</f>
        <v>--</v>
      </c>
      <c r="Z33" s="209">
        <f>IF(NOT(ISERROR(VLOOKUP($U33,Calendário!$D$87:$F$96,3,FALSE))),VLOOKUP($U33,Calendário!$D$87:$F$96,3,FALSE),IF(NOT(ISERROR(VLOOKUP($U33,Calendário!$H$87:$J$96,3,FALSE))),VLOOKUP($U33,Calendário!$H$87:$J$96,3,FALSE),IF(NOT(ISERROR(VLOOKUP($U33,Calendário!$L$87:$N$96,3,FALSE))),VLOOKUP($U33,Calendário!$L$87:$N$96,3,FALSE),IF(NOT(ISERROR(VLOOKUP($U33,Calendário!$P$87:$R$96,3,FALSE))),VLOOKUP($U33,Calendário!$P$87:$R$96,3,FALSE),IF(NOT(ISERROR(VLOOKUP($U33,Calendário!$T$87:$V$96,3,FALSE))),VLOOKUP($U33,Calendário!$T$87:$V$96,3,FALSE),"--")))))</f>
        <v>42738</v>
      </c>
      <c r="AA33" t="str">
        <f>IF(NOT(ISERROR(VLOOKUP($U33,Calendário!$X$87:$Z$96,3,FALSE))),VLOOKUP($U33,Calendário!$X$87:$Z$96,3,FALSE),"--")</f>
        <v>--</v>
      </c>
      <c r="AB33">
        <f>IF(NOT(ISERROR(VLOOKUP($U33,Calendário!$D$97:$F$106,3,FALSE))),VLOOKUP($U33,Calendário!$D$97:$F$106,3,FALSE),IF(NOT(ISERROR(VLOOKUP($U33,Calendário!$H$97:$J$106,3,FALSE))),VLOOKUP($U33,Calendário!$H$97:$J$106,3,FALSE),IF(NOT(ISERROR(VLOOKUP($U33,Calendário!$L$97:$N$106,3,FALSE))),VLOOKUP($U33,Calendário!$L$97:$N$106,3,FALSE),IF(NOT(ISERROR(VLOOKUP($U33,Calendário!$P$97:$R$106,3,FALSE))),VLOOKUP($U33,Calendário!$P$97:$R$106,3,FALSE),IF(NOT(ISERROR(VLOOKUP($U33,Calendário!$T$97:$V$106,3,FALSE))),VLOOKUP($U33,Calendário!$T$97:$V$106,3,FALSE),"--")))))</f>
        <v>42751</v>
      </c>
      <c r="AC33" t="str">
        <f>IF(NOT(ISERROR(VLOOKUP($U33,Calendário!$X$97:$Z$106,3,FALSE))),VLOOKUP($U33,Calendário!$X$97:$Z$106,3,FALSE),"--")</f>
        <v>--</v>
      </c>
      <c r="AD33" s="209" t="str">
        <f>IF(NOT(ISERROR(VLOOKUP($U33,Calendário!$D$7:$F$56,2,FALSE))),VLOOKUP($U33,Calendário!$D$7:$F$56,2,FALSE),IF(NOT(ISERROR(VLOOKUP($U33,Calendário!$H$7:$J$56,2,FALSE))),VLOOKUP($U33,Calendário!$H$7:$J$56,2,FALSE),IF(NOT(ISERROR(VLOOKUP($U33,Calendário!$L$7:$N$56,2,FALSE))),VLOOKUP($U33,Calendário!$L$7:$N$56,2,FALSE),IF(NOT(ISERROR(VLOOKUP($U33,Calendário!$P$7:$R$56,2,FALSE))),VLOOKUP($U33,Calendário!$P$7:$R$56,2,FALSE),IF(NOT(ISERROR(VLOOKUP($U33,Calendário!$T$7:$V$56,2,FALSE))),VLOOKUP($U33,Calendário!$T$7:$V$56,2,FALSE),"--")))))</f>
        <v>--</v>
      </c>
      <c r="AE33" t="str">
        <f>IF(NOT(ISERROR(VLOOKUP($U33,Calendário!$X$7:$Z$51,2,FALSE))),VLOOKUP($U33,Calendário!$X$7:$Z$51,2,FALSE),"--")</f>
        <v>--</v>
      </c>
      <c r="AF33" t="str">
        <f>IF(NOT(ISERROR(VLOOKUP($U33,Calendário!$D$57:$F$76,2,FALSE))),VLOOKUP($U33,Calendário!$D$57:$F$76,2,FALSE),IF(NOT(ISERROR(VLOOKUP($U33,Calendário!$H$57:$J$76,2,FALSE))),VLOOKUP($U33,Calendário!$H$57:$J$76,2,FALSE),IF(NOT(ISERROR(VLOOKUP($U33,Calendário!$L$57:$N$76,2,FALSE))),VLOOKUP($U33,Calendário!$L$57:$N$76,2,FALSE),IF(NOT(ISERROR(VLOOKUP($U33,Calendário!$P$57:$R$76,2,FALSE))),VLOOKUP($U33,Calendário!$P$57:$R$76,2,FALSE),IF(NOT(ISERROR(VLOOKUP($U33,Calendário!$T$57:$V$76,2,FALSE))),VLOOKUP($U33,Calendário!$T$57:$V$76,2,FALSE),"--")))))</f>
        <v>14h30</v>
      </c>
      <c r="AG33" t="str">
        <f>IF(NOT(ISERROR(VLOOKUP($U33,Calendário!$X$57:$Z$76,2,FALSE))),VLOOKUP($U33,Calendário!$X$57:$Z$76,2,FALSE),"--")</f>
        <v>--</v>
      </c>
      <c r="AH33" t="str">
        <f>IF(NOT(ISERROR(VLOOKUP($U33,Calendário!$D$87:$F$96,2,FALSE))),VLOOKUP($U33,Calendário!$D$87:$F$96,2,FALSE),IF(NOT(ISERROR(VLOOKUP($U33,Calendário!$H$87:$J$96,2,FALSE))),VLOOKUP($U33,Calendário!$H$87:$J$96,2,FALSE),IF(NOT(ISERROR(VLOOKUP($U33,Calendário!$L$87:$N$96,2,FALSE))),VLOOKUP($U33,Calendário!$L$87:$N$96,2,FALSE),IF(NOT(ISERROR(VLOOKUP($U33,Calendário!$P$87:$R$96,2,FALSE))),VLOOKUP($U33,Calendário!$P$87:$R$96,2,FALSE),IF(NOT(ISERROR(VLOOKUP($U33,Calendário!$T$87:$V$96,2,FALSE))),VLOOKUP($U33,Calendário!$T$87:$V$96,2,FALSE),"--")))))</f>
        <v>10h</v>
      </c>
      <c r="AI33" t="str">
        <f>IF(NOT(ISERROR(VLOOKUP($U33,Calendário!$X$87:$Z$96,2,FALSE))),VLOOKUP($U33,Calendário!$X$87:$Z$96,2,FALSE),"--")</f>
        <v>--</v>
      </c>
      <c r="AJ33" t="str">
        <f>IF(NOT(ISERROR(VLOOKUP($U33,Calendário!$D$97:$F$106,2,FALSE))),VLOOKUP($U33,Calendário!$D$97:$F$106,2,FALSE),IF(NOT(ISERROR(VLOOKUP($U33,Calendário!$H$97:$J$106,2,FALSE))),VLOOKUP($U33,Calendário!$H$97:$J$106,2,FALSE),IF(NOT(ISERROR(VLOOKUP($U33,Calendário!$L$97:$N$106,2,FALSE))),VLOOKUP($U33,Calendário!$L$97:$N$106,2,FALSE),IF(NOT(ISERROR(VLOOKUP($U33,Calendário!$P$97:$R$106,2,FALSE))),VLOOKUP($U33,Calendário!$P$97:$R$106,2,FALSE),IF(NOT(ISERROR(VLOOKUP($U33,Calendário!$T$97:$V$106,2,FALSE))),VLOOKUP($U33,Calendário!$T$97:$V$106,2,FALSE),"--")))))</f>
        <v>10h</v>
      </c>
      <c r="AK33" t="str">
        <f>IF(NOT(ISERROR(VLOOKUP($U33,Calendário!$X$97:$Z$106,2,FALSE))),VLOOKUP($U33,Calendário!$X$97:$Z$106,2,FALSE),"--")</f>
        <v>--</v>
      </c>
    </row>
    <row r="34" spans="2:38" ht="15" x14ac:dyDescent="0.2">
      <c r="B34" s="149" t="s">
        <v>31</v>
      </c>
      <c r="C34" s="148">
        <f t="shared" si="24"/>
        <v>42684</v>
      </c>
      <c r="D34" s="39" t="str">
        <f t="shared" si="25"/>
        <v>14h30</v>
      </c>
      <c r="E34" s="219"/>
      <c r="F34" s="239" t="s">
        <v>98</v>
      </c>
      <c r="G34" s="148">
        <f t="shared" si="26"/>
        <v>42713</v>
      </c>
      <c r="H34" s="39" t="str">
        <f t="shared" si="27"/>
        <v>14h30</v>
      </c>
      <c r="I34" s="116"/>
      <c r="J34" s="244" t="s">
        <v>98</v>
      </c>
      <c r="K34" s="148">
        <f t="shared" si="28"/>
        <v>42741</v>
      </c>
      <c r="L34" s="39" t="str">
        <f t="shared" si="29"/>
        <v>10h</v>
      </c>
      <c r="M34" s="238">
        <v>2.0099999999999998</v>
      </c>
      <c r="N34" s="66" t="s">
        <v>98</v>
      </c>
      <c r="O34" s="148">
        <f t="shared" si="30"/>
        <v>42755</v>
      </c>
      <c r="P34" s="123" t="str">
        <f t="shared" si="31"/>
        <v>10h</v>
      </c>
      <c r="Q34" s="244">
        <v>0.02</v>
      </c>
      <c r="R34" s="66" t="s">
        <v>98</v>
      </c>
      <c r="S34" s="140"/>
      <c r="U34" s="57" t="s">
        <v>78</v>
      </c>
      <c r="V34" s="209">
        <f>IF(NOT(ISERROR(VLOOKUP($U34,Calendário!$D$7:$F$56,3,FALSE))),VLOOKUP($U34,Calendário!$D$7:$F$56,3,FALSE),IF(NOT(ISERROR(VLOOKUP($U34,Calendário!$H$7:$J$56,3,FALSE))),VLOOKUP($U34,Calendário!$H$7:$J$56,3,FALSE),IF(NOT(ISERROR(VLOOKUP($U34,Calendário!$L$7:$N$56,3,FALSE))),VLOOKUP($U34,Calendário!$L$7:$N$56,3,FALSE),IF(NOT(ISERROR(VLOOKUP($U34,Calendário!$P$7:$R$56,3,FALSE))),VLOOKUP($U34,Calendário!$P$7:$R$56,3,FALSE),IF(NOT(ISERROR(VLOOKUP($U34,Calendário!$T$7:$V$56,3,FALSE))),VLOOKUP($U34,Calendário!$T$7:$V$56,3,FALSE),"--")))))</f>
        <v>42684</v>
      </c>
      <c r="W34" t="str">
        <f>IF(NOT(ISERROR(VLOOKUP($U34,Calendário!$X$7:$Z$51,3,FALSE))),VLOOKUP($U34,Calendário!$X$7:$Z$51,3,FALSE),"--")</f>
        <v>--</v>
      </c>
      <c r="X34" s="209">
        <f>IF(NOT(ISERROR(VLOOKUP($U34,Calendário!$D$57:$F$76,3,FALSE))),VLOOKUP($U34,Calendário!$D$57:$F$76,3,FALSE),IF(NOT(ISERROR(VLOOKUP($U34,Calendário!$H$57:$J$76,3,FALSE))),VLOOKUP($U34,Calendário!$H$57:$J$76,3,FALSE),IF(NOT(ISERROR(VLOOKUP($U34,Calendário!$L$57:$N$76,3,FALSE))),VLOOKUP($U34,Calendário!$L$57:$N$76,3,FALSE),IF(NOT(ISERROR(VLOOKUP($U34,Calendário!$P$57:$R$76,3,FALSE))),VLOOKUP($U34,Calendário!$P$57:$R$76,3,FALSE),IF(NOT(ISERROR(VLOOKUP($U34,Calendário!$T$57:$V$76,3,FALSE))),VLOOKUP($U34,Calendário!$T$57:$V$76,3,FALSE),"--")))))</f>
        <v>42713</v>
      </c>
      <c r="Y34" t="str">
        <f>IF(NOT(ISERROR(VLOOKUP($U34,Calendário!$X$57:$Z$76,3,FALSE))),VLOOKUP($U34,Calendário!$X$57:$Z$76,3,FALSE),"--")</f>
        <v>--</v>
      </c>
      <c r="Z34" s="209">
        <f>IF(NOT(ISERROR(VLOOKUP($U34,Calendário!$D$87:$F$96,3,FALSE))),VLOOKUP($U34,Calendário!$D$87:$F$96,3,FALSE),IF(NOT(ISERROR(VLOOKUP($U34,Calendário!$H$87:$J$96,3,FALSE))),VLOOKUP($U34,Calendário!$H$87:$J$96,3,FALSE),IF(NOT(ISERROR(VLOOKUP($U34,Calendário!$L$87:$N$96,3,FALSE))),VLOOKUP($U34,Calendário!$L$87:$N$96,3,FALSE),IF(NOT(ISERROR(VLOOKUP($U34,Calendário!$P$87:$R$96,3,FALSE))),VLOOKUP($U34,Calendário!$P$87:$R$96,3,FALSE),IF(NOT(ISERROR(VLOOKUP($U34,Calendário!$T$87:$V$96,3,FALSE))),VLOOKUP($U34,Calendário!$T$87:$V$96,3,FALSE),"--")))))</f>
        <v>42741</v>
      </c>
      <c r="AA34" t="str">
        <f>IF(NOT(ISERROR(VLOOKUP($U34,Calendário!$X$87:$Z$96,3,FALSE))),VLOOKUP($U34,Calendário!$X$87:$Z$96,3,FALSE),"--")</f>
        <v>--</v>
      </c>
      <c r="AB34">
        <f>IF(NOT(ISERROR(VLOOKUP($U34,Calendário!$D$97:$F$106,3,FALSE))),VLOOKUP($U34,Calendário!$D$97:$F$106,3,FALSE),IF(NOT(ISERROR(VLOOKUP($U34,Calendário!$H$97:$J$106,3,FALSE))),VLOOKUP($U34,Calendário!$H$97:$J$106,3,FALSE),IF(NOT(ISERROR(VLOOKUP($U34,Calendário!$L$97:$N$106,3,FALSE))),VLOOKUP($U34,Calendário!$L$97:$N$106,3,FALSE),IF(NOT(ISERROR(VLOOKUP($U34,Calendário!$P$97:$R$106,3,FALSE))),VLOOKUP($U34,Calendário!$P$97:$R$106,3,FALSE),IF(NOT(ISERROR(VLOOKUP($U34,Calendário!$T$97:$V$106,3,FALSE))),VLOOKUP($U34,Calendário!$T$97:$V$106,3,FALSE),"--")))))</f>
        <v>42755</v>
      </c>
      <c r="AC34" t="str">
        <f>IF(NOT(ISERROR(VLOOKUP($U34,Calendário!$X$97:$Z$106,3,FALSE))),VLOOKUP($U34,Calendário!$X$97:$Z$106,3,FALSE),"--")</f>
        <v>--</v>
      </c>
      <c r="AD34" s="209" t="str">
        <f>IF(NOT(ISERROR(VLOOKUP($U34,Calendário!$D$7:$F$56,2,FALSE))),VLOOKUP($U34,Calendário!$D$7:$F$56,2,FALSE),IF(NOT(ISERROR(VLOOKUP($U34,Calendário!$H$7:$J$56,2,FALSE))),VLOOKUP($U34,Calendário!$H$7:$J$56,2,FALSE),IF(NOT(ISERROR(VLOOKUP($U34,Calendário!$L$7:$N$56,2,FALSE))),VLOOKUP($U34,Calendário!$L$7:$N$56,2,FALSE),IF(NOT(ISERROR(VLOOKUP($U34,Calendário!$P$7:$R$56,2,FALSE))),VLOOKUP($U34,Calendário!$P$7:$R$56,2,FALSE),IF(NOT(ISERROR(VLOOKUP($U34,Calendário!$T$7:$V$56,2,FALSE))),VLOOKUP($U34,Calendário!$T$7:$V$56,2,FALSE),"--")))))</f>
        <v>14h30</v>
      </c>
      <c r="AE34" t="str">
        <f>IF(NOT(ISERROR(VLOOKUP($U34,Calendário!$X$7:$Z$51,2,FALSE))),VLOOKUP($U34,Calendário!$X$7:$Z$51,2,FALSE),"--")</f>
        <v>--</v>
      </c>
      <c r="AF34" t="str">
        <f>IF(NOT(ISERROR(VLOOKUP($U34,Calendário!$D$57:$F$76,2,FALSE))),VLOOKUP($U34,Calendário!$D$57:$F$76,2,FALSE),IF(NOT(ISERROR(VLOOKUP($U34,Calendário!$H$57:$J$76,2,FALSE))),VLOOKUP($U34,Calendário!$H$57:$J$76,2,FALSE),IF(NOT(ISERROR(VLOOKUP($U34,Calendário!$L$57:$N$76,2,FALSE))),VLOOKUP($U34,Calendário!$L$57:$N$76,2,FALSE),IF(NOT(ISERROR(VLOOKUP($U34,Calendário!$P$57:$R$76,2,FALSE))),VLOOKUP($U34,Calendário!$P$57:$R$76,2,FALSE),IF(NOT(ISERROR(VLOOKUP($U34,Calendário!$T$57:$V$76,2,FALSE))),VLOOKUP($U34,Calendário!$T$57:$V$76,2,FALSE),"--")))))</f>
        <v>14h30</v>
      </c>
      <c r="AG34" t="str">
        <f>IF(NOT(ISERROR(VLOOKUP($U34,Calendário!$X$57:$Z$76,2,FALSE))),VLOOKUP($U34,Calendário!$X$57:$Z$76,2,FALSE),"--")</f>
        <v>--</v>
      </c>
      <c r="AH34" t="str">
        <f>IF(NOT(ISERROR(VLOOKUP($U34,Calendário!$D$87:$F$96,2,FALSE))),VLOOKUP($U34,Calendário!$D$87:$F$96,2,FALSE),IF(NOT(ISERROR(VLOOKUP($U34,Calendário!$H$87:$J$96,2,FALSE))),VLOOKUP($U34,Calendário!$H$87:$J$96,2,FALSE),IF(NOT(ISERROR(VLOOKUP($U34,Calendário!$L$87:$N$96,2,FALSE))),VLOOKUP($U34,Calendário!$L$87:$N$96,2,FALSE),IF(NOT(ISERROR(VLOOKUP($U34,Calendário!$P$87:$R$96,2,FALSE))),VLOOKUP($U34,Calendário!$P$87:$R$96,2,FALSE),IF(NOT(ISERROR(VLOOKUP($U34,Calendário!$T$87:$V$96,2,FALSE))),VLOOKUP($U34,Calendário!$T$87:$V$96,2,FALSE),"--")))))</f>
        <v>10h</v>
      </c>
      <c r="AI34" t="str">
        <f>IF(NOT(ISERROR(VLOOKUP($U34,Calendário!$X$87:$Z$96,2,FALSE))),VLOOKUP($U34,Calendário!$X$87:$Z$96,2,FALSE),"--")</f>
        <v>--</v>
      </c>
      <c r="AJ34" t="str">
        <f>IF(NOT(ISERROR(VLOOKUP($U34,Calendário!$D$97:$F$106,2,FALSE))),VLOOKUP($U34,Calendário!$D$97:$F$106,2,FALSE),IF(NOT(ISERROR(VLOOKUP($U34,Calendário!$H$97:$J$106,2,FALSE))),VLOOKUP($U34,Calendário!$H$97:$J$106,2,FALSE),IF(NOT(ISERROR(VLOOKUP($U34,Calendário!$L$97:$N$106,2,FALSE))),VLOOKUP($U34,Calendário!$L$97:$N$106,2,FALSE),IF(NOT(ISERROR(VLOOKUP($U34,Calendário!$P$97:$R$106,2,FALSE))),VLOOKUP($U34,Calendário!$P$97:$R$106,2,FALSE),IF(NOT(ISERROR(VLOOKUP($U34,Calendário!$T$97:$V$106,2,FALSE))),VLOOKUP($U34,Calendário!$T$97:$V$106,2,FALSE),"--")))))</f>
        <v>10h</v>
      </c>
      <c r="AK34" t="str">
        <f>IF(NOT(ISERROR(VLOOKUP($U34,Calendário!$X$97:$Z$106,2,FALSE))),VLOOKUP($U34,Calendário!$X$97:$Z$106,2,FALSE),"--")</f>
        <v>--</v>
      </c>
    </row>
    <row r="35" spans="2:38" ht="15" x14ac:dyDescent="0.2">
      <c r="B35" s="149" t="s">
        <v>32</v>
      </c>
      <c r="C35" s="148">
        <f t="shared" si="24"/>
        <v>42682</v>
      </c>
      <c r="D35" s="39" t="str">
        <f t="shared" si="25"/>
        <v>14h30</v>
      </c>
      <c r="E35" s="217"/>
      <c r="F35" s="238" t="s">
        <v>99</v>
      </c>
      <c r="G35" s="148">
        <f t="shared" si="26"/>
        <v>42709</v>
      </c>
      <c r="H35" s="39" t="str">
        <f t="shared" si="27"/>
        <v>16h30</v>
      </c>
      <c r="I35" s="116"/>
      <c r="J35" s="244" t="s">
        <v>99</v>
      </c>
      <c r="K35" s="148">
        <f t="shared" si="28"/>
        <v>42744</v>
      </c>
      <c r="L35" s="39" t="str">
        <f t="shared" si="29"/>
        <v>10h</v>
      </c>
      <c r="M35" s="239">
        <v>2.0099999999999998</v>
      </c>
      <c r="N35" s="116" t="s">
        <v>99</v>
      </c>
      <c r="O35" s="148">
        <f t="shared" si="30"/>
        <v>42758</v>
      </c>
      <c r="P35" s="123" t="str">
        <f t="shared" si="31"/>
        <v>10h</v>
      </c>
      <c r="Q35" s="239">
        <v>2.0099999999999998</v>
      </c>
      <c r="R35" s="116" t="s">
        <v>99</v>
      </c>
      <c r="S35" s="140"/>
      <c r="U35" s="208" t="s">
        <v>195</v>
      </c>
      <c r="V35" s="209">
        <f>IF(NOT(ISERROR(VLOOKUP($U35,Calendário!$D$7:$F$56,3,FALSE))),VLOOKUP($U35,Calendário!$D$7:$F$56,3,FALSE),IF(NOT(ISERROR(VLOOKUP($U35,Calendário!$H$7:$J$56,3,FALSE))),VLOOKUP($U35,Calendário!$H$7:$J$56,3,FALSE),IF(NOT(ISERROR(VLOOKUP($U35,Calendário!$L$7:$N$56,3,FALSE))),VLOOKUP($U35,Calendário!$L$7:$N$56,3,FALSE),IF(NOT(ISERROR(VLOOKUP($U35,Calendário!$P$7:$R$56,3,FALSE))),VLOOKUP($U35,Calendário!$P$7:$R$56,3,FALSE),IF(NOT(ISERROR(VLOOKUP($U35,Calendário!$T$7:$V$56,3,FALSE))),VLOOKUP($U35,Calendário!$T$7:$V$56,3,FALSE),"--")))))</f>
        <v>42682</v>
      </c>
      <c r="W35" t="str">
        <f>IF(NOT(ISERROR(VLOOKUP($U35,Calendário!$X$7:$Z$51,3,FALSE))),VLOOKUP($U35,Calendário!$X$7:$Z$51,3,FALSE),"--")</f>
        <v>--</v>
      </c>
      <c r="X35" s="209">
        <f>IF(NOT(ISERROR(VLOOKUP($U35,Calendário!$D$57:$F$76,3,FALSE))),VLOOKUP($U35,Calendário!$D$57:$F$76,3,FALSE),IF(NOT(ISERROR(VLOOKUP($U35,Calendário!$H$57:$J$76,3,FALSE))),VLOOKUP($U35,Calendário!$H$57:$J$76,3,FALSE),IF(NOT(ISERROR(VLOOKUP($U35,Calendário!$L$57:$N$76,3,FALSE))),VLOOKUP($U35,Calendário!$L$57:$N$76,3,FALSE),IF(NOT(ISERROR(VLOOKUP($U35,Calendário!$P$57:$R$76,3,FALSE))),VLOOKUP($U35,Calendário!$P$57:$R$76,3,FALSE),IF(NOT(ISERROR(VLOOKUP($U35,Calendário!$T$57:$V$76,3,FALSE))),VLOOKUP($U35,Calendário!$T$57:$V$76,3,FALSE),"--")))))</f>
        <v>42709</v>
      </c>
      <c r="Y35" t="str">
        <f>IF(NOT(ISERROR(VLOOKUP($U35,Calendário!$X$57:$Z$76,3,FALSE))),VLOOKUP($U35,Calendário!$X$57:$Z$76,3,FALSE),"--")</f>
        <v>--</v>
      </c>
      <c r="Z35" s="209">
        <f>IF(NOT(ISERROR(VLOOKUP($U35,Calendário!$D$87:$F$96,3,FALSE))),VLOOKUP($U35,Calendário!$D$87:$F$96,3,FALSE),IF(NOT(ISERROR(VLOOKUP($U35,Calendário!$H$87:$J$96,3,FALSE))),VLOOKUP($U35,Calendário!$H$87:$J$96,3,FALSE),IF(NOT(ISERROR(VLOOKUP($U35,Calendário!$L$87:$N$96,3,FALSE))),VLOOKUP($U35,Calendário!$L$87:$N$96,3,FALSE),IF(NOT(ISERROR(VLOOKUP($U35,Calendário!$P$87:$R$96,3,FALSE))),VLOOKUP($U35,Calendário!$P$87:$R$96,3,FALSE),IF(NOT(ISERROR(VLOOKUP($U35,Calendário!$T$87:$V$96,3,FALSE))),VLOOKUP($U35,Calendário!$T$87:$V$96,3,FALSE),"--")))))</f>
        <v>42744</v>
      </c>
      <c r="AA35" t="str">
        <f>IF(NOT(ISERROR(VLOOKUP($U35,Calendário!$X$87:$Z$96,3,FALSE))),VLOOKUP($U35,Calendário!$X$87:$Z$96,3,FALSE),"--")</f>
        <v>--</v>
      </c>
      <c r="AB35">
        <f>IF(NOT(ISERROR(VLOOKUP($U35,Calendário!$D$97:$F$106,3,FALSE))),VLOOKUP($U35,Calendário!$D$97:$F$106,3,FALSE),IF(NOT(ISERROR(VLOOKUP($U35,Calendário!$H$97:$J$106,3,FALSE))),VLOOKUP($U35,Calendário!$H$97:$J$106,3,FALSE),IF(NOT(ISERROR(VLOOKUP($U35,Calendário!$L$97:$N$106,3,FALSE))),VLOOKUP($U35,Calendário!$L$97:$N$106,3,FALSE),IF(NOT(ISERROR(VLOOKUP($U35,Calendário!$P$97:$R$106,3,FALSE))),VLOOKUP($U35,Calendário!$P$97:$R$106,3,FALSE),IF(NOT(ISERROR(VLOOKUP($U35,Calendário!$T$97:$V$106,3,FALSE))),VLOOKUP($U35,Calendário!$T$97:$V$106,3,FALSE),"--")))))</f>
        <v>42758</v>
      </c>
      <c r="AC35" t="str">
        <f>IF(NOT(ISERROR(VLOOKUP($U35,Calendário!$X$97:$Z$106,3,FALSE))),VLOOKUP($U35,Calendário!$X$97:$Z$106,3,FALSE),"--")</f>
        <v>--</v>
      </c>
      <c r="AD35" s="209" t="str">
        <f>IF(NOT(ISERROR(VLOOKUP($U35,Calendário!$D$7:$F$56,2,FALSE))),VLOOKUP($U35,Calendário!$D$7:$F$56,2,FALSE),IF(NOT(ISERROR(VLOOKUP($U35,Calendário!$H$7:$J$56,2,FALSE))),VLOOKUP($U35,Calendário!$H$7:$J$56,2,FALSE),IF(NOT(ISERROR(VLOOKUP($U35,Calendário!$L$7:$N$56,2,FALSE))),VLOOKUP($U35,Calendário!$L$7:$N$56,2,FALSE),IF(NOT(ISERROR(VLOOKUP($U35,Calendário!$P$7:$R$56,2,FALSE))),VLOOKUP($U35,Calendário!$P$7:$R$56,2,FALSE),IF(NOT(ISERROR(VLOOKUP($U35,Calendário!$T$7:$V$56,2,FALSE))),VLOOKUP($U35,Calendário!$T$7:$V$56,2,FALSE),"--")))))</f>
        <v>14h30</v>
      </c>
      <c r="AE35" t="str">
        <f>IF(NOT(ISERROR(VLOOKUP($U35,Calendário!$X$7:$Z$51,2,FALSE))),VLOOKUP($U35,Calendário!$X$7:$Z$51,2,FALSE),"--")</f>
        <v>--</v>
      </c>
      <c r="AF35" t="str">
        <f>IF(NOT(ISERROR(VLOOKUP($U35,Calendário!$D$57:$F$76,2,FALSE))),VLOOKUP($U35,Calendário!$D$57:$F$76,2,FALSE),IF(NOT(ISERROR(VLOOKUP($U35,Calendário!$H$57:$J$76,2,FALSE))),VLOOKUP($U35,Calendário!$H$57:$J$76,2,FALSE),IF(NOT(ISERROR(VLOOKUP($U35,Calendário!$L$57:$N$76,2,FALSE))),VLOOKUP($U35,Calendário!$L$57:$N$76,2,FALSE),IF(NOT(ISERROR(VLOOKUP($U35,Calendário!$P$57:$R$76,2,FALSE))),VLOOKUP($U35,Calendário!$P$57:$R$76,2,FALSE),IF(NOT(ISERROR(VLOOKUP($U35,Calendário!$T$57:$V$76,2,FALSE))),VLOOKUP($U35,Calendário!$T$57:$V$76,2,FALSE),"--")))))</f>
        <v>16h30</v>
      </c>
      <c r="AG35" t="str">
        <f>IF(NOT(ISERROR(VLOOKUP($U35,Calendário!$X$57:$Z$76,2,FALSE))),VLOOKUP($U35,Calendário!$X$57:$Z$76,2,FALSE),"--")</f>
        <v>--</v>
      </c>
      <c r="AH35" t="str">
        <f>IF(NOT(ISERROR(VLOOKUP($U35,Calendário!$D$87:$F$96,2,FALSE))),VLOOKUP($U35,Calendário!$D$87:$F$96,2,FALSE),IF(NOT(ISERROR(VLOOKUP($U35,Calendário!$H$87:$J$96,2,FALSE))),VLOOKUP($U35,Calendário!$H$87:$J$96,2,FALSE),IF(NOT(ISERROR(VLOOKUP($U35,Calendário!$L$87:$N$96,2,FALSE))),VLOOKUP($U35,Calendário!$L$87:$N$96,2,FALSE),IF(NOT(ISERROR(VLOOKUP($U35,Calendário!$P$87:$R$96,2,FALSE))),VLOOKUP($U35,Calendário!$P$87:$R$96,2,FALSE),IF(NOT(ISERROR(VLOOKUP($U35,Calendário!$T$87:$V$96,2,FALSE))),VLOOKUP($U35,Calendário!$T$87:$V$96,2,FALSE),"--")))))</f>
        <v>10h</v>
      </c>
      <c r="AI35" t="str">
        <f>IF(NOT(ISERROR(VLOOKUP($U35,Calendário!$X$87:$Z$96,2,FALSE))),VLOOKUP($U35,Calendário!$X$87:$Z$96,2,FALSE),"--")</f>
        <v>--</v>
      </c>
      <c r="AJ35" t="str">
        <f>IF(NOT(ISERROR(VLOOKUP($U35,Calendário!$D$97:$F$106,2,FALSE))),VLOOKUP($U35,Calendário!$D$97:$F$106,2,FALSE),IF(NOT(ISERROR(VLOOKUP($U35,Calendário!$H$97:$J$106,2,FALSE))),VLOOKUP($U35,Calendário!$H$97:$J$106,2,FALSE),IF(NOT(ISERROR(VLOOKUP($U35,Calendário!$L$97:$N$106,2,FALSE))),VLOOKUP($U35,Calendário!$L$97:$N$106,2,FALSE),IF(NOT(ISERROR(VLOOKUP($U35,Calendário!$P$97:$R$106,2,FALSE))),VLOOKUP($U35,Calendário!$P$97:$R$106,2,FALSE),IF(NOT(ISERROR(VLOOKUP($U35,Calendário!$T$97:$V$106,2,FALSE))),VLOOKUP($U35,Calendário!$T$97:$V$106,2,FALSE),"--")))))</f>
        <v>10h</v>
      </c>
      <c r="AK35" t="str">
        <f>IF(NOT(ISERROR(VLOOKUP($U35,Calendário!$X$97:$Z$106,2,FALSE))),VLOOKUP($U35,Calendário!$X$97:$Z$106,2,FALSE),"--")</f>
        <v>--</v>
      </c>
    </row>
    <row r="36" spans="2:38" ht="15" x14ac:dyDescent="0.2">
      <c r="B36" s="149" t="s">
        <v>37</v>
      </c>
      <c r="C36" s="148" t="str">
        <f>IF(V36&lt;&gt;"--",V36,W36)</f>
        <v>--</v>
      </c>
      <c r="D36" s="39" t="str">
        <f>IF(AD36&lt;&gt;"--",AD36,AE36)</f>
        <v>--</v>
      </c>
      <c r="E36" s="219"/>
      <c r="F36" s="239" t="s">
        <v>60</v>
      </c>
      <c r="G36" s="148">
        <f>IF(X36&lt;&gt;"--",X36,Y36)</f>
        <v>42720</v>
      </c>
      <c r="H36" s="39" t="str">
        <f>IF(AF36&lt;&gt;"--",AF36,AG36)</f>
        <v>14h30</v>
      </c>
      <c r="I36" s="110"/>
      <c r="J36" s="244" t="s">
        <v>96</v>
      </c>
      <c r="K36" s="148">
        <f>IF(Z36&lt;&gt;"--",Z36,AA36)</f>
        <v>42748</v>
      </c>
      <c r="L36" s="39" t="str">
        <f>IF(AH36&lt;&gt;"--",AH36,AI36)</f>
        <v>10h</v>
      </c>
      <c r="M36" s="238">
        <v>2.0099999999999998</v>
      </c>
      <c r="N36" s="66" t="s">
        <v>96</v>
      </c>
      <c r="O36" s="148">
        <f>IF(AB36&lt;&gt;"--",AB36,AC36)</f>
        <v>42762</v>
      </c>
      <c r="P36" s="39" t="str">
        <f>IF(AJ36&lt;&gt;"--",AJ36,AK36)</f>
        <v>10h</v>
      </c>
      <c r="Q36" s="238">
        <v>2.0099999999999998</v>
      </c>
      <c r="R36" s="66" t="s">
        <v>96</v>
      </c>
      <c r="S36" s="140"/>
      <c r="U36" s="57" t="s">
        <v>85</v>
      </c>
      <c r="V36" s="209" t="str">
        <f>IF(NOT(ISERROR(VLOOKUP($U36,Calendário!$D$7:$F$56,3,FALSE))),VLOOKUP($U36,Calendário!$D$7:$F$56,3,FALSE),IF(NOT(ISERROR(VLOOKUP($U36,Calendário!$H$7:$J$56,3,FALSE))),VLOOKUP($U36,Calendário!$H$7:$J$56,3,FALSE),IF(NOT(ISERROR(VLOOKUP($U36,Calendário!$L$7:$N$56,3,FALSE))),VLOOKUP($U36,Calendário!$L$7:$N$56,3,FALSE),IF(NOT(ISERROR(VLOOKUP($U36,Calendário!$P$7:$R$56,3,FALSE))),VLOOKUP($U36,Calendário!$P$7:$R$56,3,FALSE),IF(NOT(ISERROR(VLOOKUP($U36,Calendário!$T$7:$V$56,3,FALSE))),VLOOKUP($U36,Calendário!$T$7:$V$56,3,FALSE),"--")))))</f>
        <v>--</v>
      </c>
      <c r="W36" t="str">
        <f>IF(NOT(ISERROR(VLOOKUP($U36,Calendário!$X$7:$Z$51,3,FALSE))),VLOOKUP($U36,Calendário!$X$7:$Z$51,3,FALSE),"--")</f>
        <v>--</v>
      </c>
      <c r="X36" s="209">
        <f>IF(NOT(ISERROR(VLOOKUP($U36,Calendário!$D$57:$F$76,3,FALSE))),VLOOKUP($U36,Calendário!$D$57:$F$76,3,FALSE),IF(NOT(ISERROR(VLOOKUP($U36,Calendário!$H$57:$J$76,3,FALSE))),VLOOKUP($U36,Calendário!$H$57:$J$76,3,FALSE),IF(NOT(ISERROR(VLOOKUP($U36,Calendário!$L$57:$N$76,3,FALSE))),VLOOKUP($U36,Calendário!$L$57:$N$76,3,FALSE),IF(NOT(ISERROR(VLOOKUP($U36,Calendário!$P$57:$R$76,3,FALSE))),VLOOKUP($U36,Calendário!$P$57:$R$76,3,FALSE),IF(NOT(ISERROR(VLOOKUP($U36,Calendário!$T$57:$V$76,3,FALSE))),VLOOKUP($U36,Calendário!$T$57:$V$76,3,FALSE),"--")))))</f>
        <v>42720</v>
      </c>
      <c r="Y36" t="str">
        <f>IF(NOT(ISERROR(VLOOKUP($U36,Calendário!$X$57:$Z$76,3,FALSE))),VLOOKUP($U36,Calendário!$X$57:$Z$76,3,FALSE),"--")</f>
        <v>--</v>
      </c>
      <c r="Z36" s="209">
        <f>IF(NOT(ISERROR(VLOOKUP($U36,Calendário!$D$87:$F$96,3,FALSE))),VLOOKUP($U36,Calendário!$D$87:$F$96,3,FALSE),IF(NOT(ISERROR(VLOOKUP($U36,Calendário!$H$87:$J$96,3,FALSE))),VLOOKUP($U36,Calendário!$H$87:$J$96,3,FALSE),IF(NOT(ISERROR(VLOOKUP($U36,Calendário!$L$87:$N$96,3,FALSE))),VLOOKUP($U36,Calendário!$L$87:$N$96,3,FALSE),IF(NOT(ISERROR(VLOOKUP($U36,Calendário!$P$87:$R$96,3,FALSE))),VLOOKUP($U36,Calendário!$P$87:$R$96,3,FALSE),IF(NOT(ISERROR(VLOOKUP($U36,Calendário!$T$87:$V$96,3,FALSE))),VLOOKUP($U36,Calendário!$T$87:$V$96,3,FALSE),"--")))))</f>
        <v>42748</v>
      </c>
      <c r="AA36" t="str">
        <f>IF(NOT(ISERROR(VLOOKUP($U36,Calendário!$X$87:$Z$96,3,FALSE))),VLOOKUP($U36,Calendário!$X$87:$Z$96,3,FALSE),"--")</f>
        <v>--</v>
      </c>
      <c r="AB36">
        <f>IF(NOT(ISERROR(VLOOKUP($U36,Calendário!$D$97:$F$106,3,FALSE))),VLOOKUP($U36,Calendário!$D$97:$F$106,3,FALSE),IF(NOT(ISERROR(VLOOKUP($U36,Calendário!$H$97:$J$106,3,FALSE))),VLOOKUP($U36,Calendário!$H$97:$J$106,3,FALSE),IF(NOT(ISERROR(VLOOKUP($U36,Calendário!$L$97:$N$106,3,FALSE))),VLOOKUP($U36,Calendário!$L$97:$N$106,3,FALSE),IF(NOT(ISERROR(VLOOKUP($U36,Calendário!$P$97:$R$106,3,FALSE))),VLOOKUP($U36,Calendário!$P$97:$R$106,3,FALSE),IF(NOT(ISERROR(VLOOKUP($U36,Calendário!$T$97:$V$106,3,FALSE))),VLOOKUP($U36,Calendário!$T$97:$V$106,3,FALSE),"--")))))</f>
        <v>42762</v>
      </c>
      <c r="AC36" t="str">
        <f>IF(NOT(ISERROR(VLOOKUP($U36,Calendário!$X$97:$Z$106,3,FALSE))),VLOOKUP($U36,Calendário!$X$97:$Z$106,3,FALSE),"--")</f>
        <v>--</v>
      </c>
      <c r="AD36" s="209" t="str">
        <f>IF(NOT(ISERROR(VLOOKUP($U36,Calendário!$D$7:$F$56,2,FALSE))),VLOOKUP($U36,Calendário!$D$7:$F$56,2,FALSE),IF(NOT(ISERROR(VLOOKUP($U36,Calendário!$H$7:$J$56,2,FALSE))),VLOOKUP($U36,Calendário!$H$7:$J$56,2,FALSE),IF(NOT(ISERROR(VLOOKUP($U36,Calendário!$L$7:$N$56,2,FALSE))),VLOOKUP($U36,Calendário!$L$7:$N$56,2,FALSE),IF(NOT(ISERROR(VLOOKUP($U36,Calendário!$P$7:$R$56,2,FALSE))),VLOOKUP($U36,Calendário!$P$7:$R$56,2,FALSE),IF(NOT(ISERROR(VLOOKUP($U36,Calendário!$T$7:$V$56,2,FALSE))),VLOOKUP($U36,Calendário!$T$7:$V$56,2,FALSE),"--")))))</f>
        <v>--</v>
      </c>
      <c r="AE36" t="str">
        <f>IF(NOT(ISERROR(VLOOKUP($U36,Calendário!$X$7:$Z$51,2,FALSE))),VLOOKUP($U36,Calendário!$X$7:$Z$51,2,FALSE),"--")</f>
        <v>--</v>
      </c>
      <c r="AF36" t="str">
        <f>IF(NOT(ISERROR(VLOOKUP($U36,Calendário!$D$57:$F$76,2,FALSE))),VLOOKUP($U36,Calendário!$D$57:$F$76,2,FALSE),IF(NOT(ISERROR(VLOOKUP($U36,Calendário!$H$57:$J$76,2,FALSE))),VLOOKUP($U36,Calendário!$H$57:$J$76,2,FALSE),IF(NOT(ISERROR(VLOOKUP($U36,Calendário!$L$57:$N$76,2,FALSE))),VLOOKUP($U36,Calendário!$L$57:$N$76,2,FALSE),IF(NOT(ISERROR(VLOOKUP($U36,Calendário!$P$57:$R$76,2,FALSE))),VLOOKUP($U36,Calendário!$P$57:$R$76,2,FALSE),IF(NOT(ISERROR(VLOOKUP($U36,Calendário!$T$57:$V$76,2,FALSE))),VLOOKUP($U36,Calendário!$T$57:$V$76,2,FALSE),"--")))))</f>
        <v>14h30</v>
      </c>
      <c r="AG36" t="str">
        <f>IF(NOT(ISERROR(VLOOKUP($U36,Calendário!$X$57:$Z$76,2,FALSE))),VLOOKUP($U36,Calendário!$X$57:$Z$76,2,FALSE),"--")</f>
        <v>--</v>
      </c>
      <c r="AH36" t="str">
        <f>IF(NOT(ISERROR(VLOOKUP($U36,Calendário!$D$87:$F$96,2,FALSE))),VLOOKUP($U36,Calendário!$D$87:$F$96,2,FALSE),IF(NOT(ISERROR(VLOOKUP($U36,Calendário!$H$87:$J$96,2,FALSE))),VLOOKUP($U36,Calendário!$H$87:$J$96,2,FALSE),IF(NOT(ISERROR(VLOOKUP($U36,Calendário!$L$87:$N$96,2,FALSE))),VLOOKUP($U36,Calendário!$L$87:$N$96,2,FALSE),IF(NOT(ISERROR(VLOOKUP($U36,Calendário!$P$87:$R$96,2,FALSE))),VLOOKUP($U36,Calendário!$P$87:$R$96,2,FALSE),IF(NOT(ISERROR(VLOOKUP($U36,Calendário!$T$87:$V$96,2,FALSE))),VLOOKUP($U36,Calendário!$T$87:$V$96,2,FALSE),"--")))))</f>
        <v>10h</v>
      </c>
      <c r="AI36" t="str">
        <f>IF(NOT(ISERROR(VLOOKUP($U36,Calendário!$X$87:$Z$96,2,FALSE))),VLOOKUP($U36,Calendário!$X$87:$Z$96,2,FALSE),"--")</f>
        <v>--</v>
      </c>
      <c r="AJ36" t="str">
        <f>IF(NOT(ISERROR(VLOOKUP($U36,Calendário!$D$97:$F$106,2,FALSE))),VLOOKUP($U36,Calendário!$D$97:$F$106,2,FALSE),IF(NOT(ISERROR(VLOOKUP($U36,Calendário!$H$97:$J$106,2,FALSE))),VLOOKUP($U36,Calendário!$H$97:$J$106,2,FALSE),IF(NOT(ISERROR(VLOOKUP($U36,Calendário!$L$97:$N$106,2,FALSE))),VLOOKUP($U36,Calendário!$L$97:$N$106,2,FALSE),IF(NOT(ISERROR(VLOOKUP($U36,Calendário!$P$97:$R$106,2,FALSE))),VLOOKUP($U36,Calendário!$P$97:$R$106,2,FALSE),IF(NOT(ISERROR(VLOOKUP($U36,Calendário!$T$97:$V$106,2,FALSE))),VLOOKUP($U36,Calendário!$T$97:$V$106,2,FALSE),"--")))))</f>
        <v>10h</v>
      </c>
      <c r="AK36" t="str">
        <f>IF(NOT(ISERROR(VLOOKUP($U36,Calendário!$X$97:$Z$106,2,FALSE))),VLOOKUP($U36,Calendário!$X$97:$Z$106,2,FALSE),"--")</f>
        <v>--</v>
      </c>
    </row>
    <row r="37" spans="2:38" ht="15" x14ac:dyDescent="0.2">
      <c r="B37" s="149" t="s">
        <v>33</v>
      </c>
      <c r="C37" s="148">
        <f t="shared" si="24"/>
        <v>42686</v>
      </c>
      <c r="D37" s="39" t="str">
        <f t="shared" si="25"/>
        <v>10h00</v>
      </c>
      <c r="E37" s="219"/>
      <c r="F37" s="238" t="s">
        <v>100</v>
      </c>
      <c r="G37" s="148">
        <f t="shared" si="26"/>
        <v>42721</v>
      </c>
      <c r="H37" s="39" t="str">
        <f t="shared" si="27"/>
        <v>10h00</v>
      </c>
      <c r="I37" s="116"/>
      <c r="J37" s="244" t="s">
        <v>100</v>
      </c>
      <c r="K37" s="148">
        <f t="shared" si="28"/>
        <v>42746</v>
      </c>
      <c r="L37" s="39" t="str">
        <f t="shared" si="29"/>
        <v>10h</v>
      </c>
      <c r="M37" s="238">
        <v>2.04</v>
      </c>
      <c r="N37" s="66" t="s">
        <v>100</v>
      </c>
      <c r="O37" s="148">
        <f t="shared" si="30"/>
        <v>42760</v>
      </c>
      <c r="P37" s="123" t="str">
        <f t="shared" si="31"/>
        <v>10h</v>
      </c>
      <c r="Q37" s="238">
        <v>2.04</v>
      </c>
      <c r="R37" s="66" t="s">
        <v>100</v>
      </c>
      <c r="S37" s="140"/>
      <c r="U37" s="57" t="s">
        <v>84</v>
      </c>
      <c r="V37" s="209" t="str">
        <f>IF(NOT(ISERROR(VLOOKUP($U37,Calendário!$D$7:$F$56,3,FALSE))),VLOOKUP($U37,Calendário!$D$7:$F$56,3,FALSE),IF(NOT(ISERROR(VLOOKUP($U37,Calendário!$H$7:$J$56,3,FALSE))),VLOOKUP($U37,Calendário!$H$7:$J$56,3,FALSE),IF(NOT(ISERROR(VLOOKUP($U37,Calendário!$L$7:$N$56,3,FALSE))),VLOOKUP($U37,Calendário!$L$7:$N$56,3,FALSE),IF(NOT(ISERROR(VLOOKUP($U37,Calendário!$P$7:$R$56,3,FALSE))),VLOOKUP($U37,Calendário!$P$7:$R$56,3,FALSE),IF(NOT(ISERROR(VLOOKUP($U37,Calendário!$T$7:$V$56,3,FALSE))),VLOOKUP($U37,Calendário!$T$7:$V$56,3,FALSE),"--")))))</f>
        <v>--</v>
      </c>
      <c r="W37">
        <f>IF(NOT(ISERROR(VLOOKUP($U37,Calendário!$X$7:$Z$51,3,FALSE))),VLOOKUP($U37,Calendário!$X$7:$Z$51,3,FALSE),"--")</f>
        <v>42686</v>
      </c>
      <c r="X37" s="209" t="str">
        <f>IF(NOT(ISERROR(VLOOKUP($U37,Calendário!$D$57:$F$76,3,FALSE))),VLOOKUP($U37,Calendário!$D$57:$F$76,3,FALSE),IF(NOT(ISERROR(VLOOKUP($U37,Calendário!$H$57:$J$76,3,FALSE))),VLOOKUP($U37,Calendário!$H$57:$J$76,3,FALSE),IF(NOT(ISERROR(VLOOKUP($U37,Calendário!$L$57:$N$76,3,FALSE))),VLOOKUP($U37,Calendário!$L$57:$N$76,3,FALSE),IF(NOT(ISERROR(VLOOKUP($U37,Calendário!$P$57:$R$76,3,FALSE))),VLOOKUP($U37,Calendário!$P$57:$R$76,3,FALSE),IF(NOT(ISERROR(VLOOKUP($U37,Calendário!$T$57:$V$76,3,FALSE))),VLOOKUP($U37,Calendário!$T$57:$V$76,3,FALSE),"--")))))</f>
        <v>--</v>
      </c>
      <c r="Y37">
        <f>IF(NOT(ISERROR(VLOOKUP($U37,Calendário!$X$57:$Z$76,3,FALSE))),VLOOKUP($U37,Calendário!$X$57:$Z$76,3,FALSE),"--")</f>
        <v>42721</v>
      </c>
      <c r="Z37" s="209">
        <f>IF(NOT(ISERROR(VLOOKUP($U37,Calendário!$D$87:$F$96,3,FALSE))),VLOOKUP($U37,Calendário!$D$87:$F$96,3,FALSE),IF(NOT(ISERROR(VLOOKUP($U37,Calendário!$H$87:$J$96,3,FALSE))),VLOOKUP($U37,Calendário!$H$87:$J$96,3,FALSE),IF(NOT(ISERROR(VLOOKUP($U37,Calendário!$L$87:$N$96,3,FALSE))),VLOOKUP($U37,Calendário!$L$87:$N$96,3,FALSE),IF(NOT(ISERROR(VLOOKUP($U37,Calendário!$P$87:$R$96,3,FALSE))),VLOOKUP($U37,Calendário!$P$87:$R$96,3,FALSE),IF(NOT(ISERROR(VLOOKUP($U37,Calendário!$T$87:$V$96,3,FALSE))),VLOOKUP($U37,Calendário!$T$87:$V$96,3,FALSE),"--")))))</f>
        <v>42746</v>
      </c>
      <c r="AA37" t="str">
        <f>IF(NOT(ISERROR(VLOOKUP($U37,Calendário!$X$87:$Z$96,3,FALSE))),VLOOKUP($U37,Calendário!$X$87:$Z$96,3,FALSE),"--")</f>
        <v>--</v>
      </c>
      <c r="AB37">
        <f>IF(NOT(ISERROR(VLOOKUP($U37,Calendário!$D$97:$F$106,3,FALSE))),VLOOKUP($U37,Calendário!$D$97:$F$106,3,FALSE),IF(NOT(ISERROR(VLOOKUP($U37,Calendário!$H$97:$J$106,3,FALSE))),VLOOKUP($U37,Calendário!$H$97:$J$106,3,FALSE),IF(NOT(ISERROR(VLOOKUP($U37,Calendário!$L$97:$N$106,3,FALSE))),VLOOKUP($U37,Calendário!$L$97:$N$106,3,FALSE),IF(NOT(ISERROR(VLOOKUP($U37,Calendário!$P$97:$R$106,3,FALSE))),VLOOKUP($U37,Calendário!$P$97:$R$106,3,FALSE),IF(NOT(ISERROR(VLOOKUP($U37,Calendário!$T$97:$V$106,3,FALSE))),VLOOKUP($U37,Calendário!$T$97:$V$106,3,FALSE),"--")))))</f>
        <v>42760</v>
      </c>
      <c r="AC37" t="str">
        <f>IF(NOT(ISERROR(VLOOKUP($U37,Calendário!$X$97:$Z$106,3,FALSE))),VLOOKUP($U37,Calendário!$X$97:$Z$106,3,FALSE),"--")</f>
        <v>--</v>
      </c>
      <c r="AD37" s="209" t="str">
        <f>IF(NOT(ISERROR(VLOOKUP($U37,Calendário!$D$7:$F$56,2,FALSE))),VLOOKUP($U37,Calendário!$D$7:$F$56,2,FALSE),IF(NOT(ISERROR(VLOOKUP($U37,Calendário!$H$7:$J$56,2,FALSE))),VLOOKUP($U37,Calendário!$H$7:$J$56,2,FALSE),IF(NOT(ISERROR(VLOOKUP($U37,Calendário!$L$7:$N$56,2,FALSE))),VLOOKUP($U37,Calendário!$L$7:$N$56,2,FALSE),IF(NOT(ISERROR(VLOOKUP($U37,Calendário!$P$7:$R$56,2,FALSE))),VLOOKUP($U37,Calendário!$P$7:$R$56,2,FALSE),IF(NOT(ISERROR(VLOOKUP($U37,Calendário!$T$7:$V$56,2,FALSE))),VLOOKUP($U37,Calendário!$T$7:$V$56,2,FALSE),"--")))))</f>
        <v>--</v>
      </c>
      <c r="AE37" t="str">
        <f>IF(NOT(ISERROR(VLOOKUP($U37,Calendário!$X$7:$Z$51,2,FALSE))),VLOOKUP($U37,Calendário!$X$7:$Z$51,2,FALSE),"--")</f>
        <v>10h00</v>
      </c>
      <c r="AF37" t="str">
        <f>IF(NOT(ISERROR(VLOOKUP($U37,Calendário!$D$57:$F$76,2,FALSE))),VLOOKUP($U37,Calendário!$D$57:$F$76,2,FALSE),IF(NOT(ISERROR(VLOOKUP($U37,Calendário!$H$57:$J$76,2,FALSE))),VLOOKUP($U37,Calendário!$H$57:$J$76,2,FALSE),IF(NOT(ISERROR(VLOOKUP($U37,Calendário!$L$57:$N$76,2,FALSE))),VLOOKUP($U37,Calendário!$L$57:$N$76,2,FALSE),IF(NOT(ISERROR(VLOOKUP($U37,Calendário!$P$57:$R$76,2,FALSE))),VLOOKUP($U37,Calendário!$P$57:$R$76,2,FALSE),IF(NOT(ISERROR(VLOOKUP($U37,Calendário!$T$57:$V$76,2,FALSE))),VLOOKUP($U37,Calendário!$T$57:$V$76,2,FALSE),"--")))))</f>
        <v>--</v>
      </c>
      <c r="AG37" t="str">
        <f>IF(NOT(ISERROR(VLOOKUP($U37,Calendário!$X$57:$Z$76,2,FALSE))),VLOOKUP($U37,Calendário!$X$57:$Z$76,2,FALSE),"--")</f>
        <v>10h00</v>
      </c>
      <c r="AH37" t="str">
        <f>IF(NOT(ISERROR(VLOOKUP($U37,Calendário!$D$87:$F$96,2,FALSE))),VLOOKUP($U37,Calendário!$D$87:$F$96,2,FALSE),IF(NOT(ISERROR(VLOOKUP($U37,Calendário!$H$87:$J$96,2,FALSE))),VLOOKUP($U37,Calendário!$H$87:$J$96,2,FALSE),IF(NOT(ISERROR(VLOOKUP($U37,Calendário!$L$87:$N$96,2,FALSE))),VLOOKUP($U37,Calendário!$L$87:$N$96,2,FALSE),IF(NOT(ISERROR(VLOOKUP($U37,Calendário!$P$87:$R$96,2,FALSE))),VLOOKUP($U37,Calendário!$P$87:$R$96,2,FALSE),IF(NOT(ISERROR(VLOOKUP($U37,Calendário!$T$87:$V$96,2,FALSE))),VLOOKUP($U37,Calendário!$T$87:$V$96,2,FALSE),"--")))))</f>
        <v>10h</v>
      </c>
      <c r="AI37" t="str">
        <f>IF(NOT(ISERROR(VLOOKUP($U37,Calendário!$X$87:$Z$96,2,FALSE))),VLOOKUP($U37,Calendário!$X$87:$Z$96,2,FALSE),"--")</f>
        <v>--</v>
      </c>
      <c r="AJ37" t="str">
        <f>IF(NOT(ISERROR(VLOOKUP($U37,Calendário!$D$97:$F$106,2,FALSE))),VLOOKUP($U37,Calendário!$D$97:$F$106,2,FALSE),IF(NOT(ISERROR(VLOOKUP($U37,Calendário!$H$97:$J$106,2,FALSE))),VLOOKUP($U37,Calendário!$H$97:$J$106,2,FALSE),IF(NOT(ISERROR(VLOOKUP($U37,Calendário!$L$97:$N$106,2,FALSE))),VLOOKUP($U37,Calendário!$L$97:$N$106,2,FALSE),IF(NOT(ISERROR(VLOOKUP($U37,Calendário!$P$97:$R$106,2,FALSE))),VLOOKUP($U37,Calendário!$P$97:$R$106,2,FALSE),IF(NOT(ISERROR(VLOOKUP($U37,Calendário!$T$97:$V$106,2,FALSE))),VLOOKUP($U37,Calendário!$T$97:$V$106,2,FALSE),"--")))))</f>
        <v>10h</v>
      </c>
      <c r="AK37" t="str">
        <f>IF(NOT(ISERROR(VLOOKUP($U37,Calendário!$X$97:$Z$106,2,FALSE))),VLOOKUP($U37,Calendário!$X$97:$Z$106,2,FALSE),"--")</f>
        <v>--</v>
      </c>
    </row>
    <row r="38" spans="2:38" ht="15" x14ac:dyDescent="0.2">
      <c r="B38" s="149" t="s">
        <v>34</v>
      </c>
      <c r="C38" s="148">
        <f t="shared" ref="C38" si="32">IF(V38&lt;&gt;"--",V38,W38)</f>
        <v>42676</v>
      </c>
      <c r="D38" s="39" t="str">
        <f>IF(AD38&lt;&gt;"--",AD38,AE38)</f>
        <v>14h30</v>
      </c>
      <c r="E38" s="220"/>
      <c r="F38" s="239" t="s">
        <v>100</v>
      </c>
      <c r="G38" s="148">
        <f t="shared" ref="G38" si="33">IF(X38&lt;&gt;"--",X38,Y38)</f>
        <v>42713</v>
      </c>
      <c r="H38" s="39" t="str">
        <f t="shared" ref="H38" si="34">IF(AF38&lt;&gt;"--",AF38,AG38)</f>
        <v>9h00</v>
      </c>
      <c r="I38" s="145"/>
      <c r="J38" s="244" t="s">
        <v>100</v>
      </c>
      <c r="K38" s="148">
        <f t="shared" si="28"/>
        <v>42738</v>
      </c>
      <c r="L38" s="39" t="str">
        <f t="shared" si="29"/>
        <v>10h</v>
      </c>
      <c r="M38" s="238">
        <v>2.04</v>
      </c>
      <c r="N38" s="66" t="s">
        <v>100</v>
      </c>
      <c r="O38" s="148">
        <f t="shared" si="30"/>
        <v>42751</v>
      </c>
      <c r="P38" s="123" t="str">
        <f t="shared" si="31"/>
        <v>10h</v>
      </c>
      <c r="Q38" s="238">
        <v>2.04</v>
      </c>
      <c r="R38" s="66" t="s">
        <v>100</v>
      </c>
      <c r="S38" s="140"/>
      <c r="U38" s="57" t="s">
        <v>79</v>
      </c>
      <c r="V38" s="209">
        <f>IF(NOT(ISERROR(VLOOKUP($U38,Calendário!$D$7:$F$56,3,FALSE))),VLOOKUP($U38,Calendário!$D$7:$F$56,3,FALSE),IF(NOT(ISERROR(VLOOKUP($U38,Calendário!$H$7:$J$56,3,FALSE))),VLOOKUP($U38,Calendário!$H$7:$J$56,3,FALSE),IF(NOT(ISERROR(VLOOKUP($U38,Calendário!$L$7:$N$56,3,FALSE))),VLOOKUP($U38,Calendário!$L$7:$N$56,3,FALSE),IF(NOT(ISERROR(VLOOKUP($U38,Calendário!$P$7:$R$56,3,FALSE))),VLOOKUP($U38,Calendário!$P$7:$R$56,3,FALSE),IF(NOT(ISERROR(VLOOKUP($U38,Calendário!$T$7:$V$56,3,FALSE))),VLOOKUP($U38,Calendário!$T$7:$V$56,3,FALSE),"--")))))</f>
        <v>42676</v>
      </c>
      <c r="W38" t="str">
        <f>IF(NOT(ISERROR(VLOOKUP($U38,Calendário!$X$7:$Z$51,3,FALSE))),VLOOKUP($U38,Calendário!$X$7:$Z$51,3,FALSE),"--")</f>
        <v>--</v>
      </c>
      <c r="X38" s="209">
        <f>IF(NOT(ISERROR(VLOOKUP($U38,Calendário!$D$57:$F$76,3,FALSE))),VLOOKUP($U38,Calendário!$D$57:$F$76,3,FALSE),IF(NOT(ISERROR(VLOOKUP($U38,Calendário!$H$57:$J$76,3,FALSE))),VLOOKUP($U38,Calendário!$H$57:$J$76,3,FALSE),IF(NOT(ISERROR(VLOOKUP($U38,Calendário!$L$57:$N$76,3,FALSE))),VLOOKUP($U38,Calendário!$L$57:$N$76,3,FALSE),IF(NOT(ISERROR(VLOOKUP($U38,Calendário!$P$57:$R$76,3,FALSE))),VLOOKUP($U38,Calendário!$P$57:$R$76,3,FALSE),IF(NOT(ISERROR(VLOOKUP($U38,Calendário!$T$57:$V$76,3,FALSE))),VLOOKUP($U38,Calendário!$T$57:$V$76,3,FALSE),"--")))))</f>
        <v>42713</v>
      </c>
      <c r="Y38" t="str">
        <f>IF(NOT(ISERROR(VLOOKUP($U38,Calendário!$X$57:$Z$76,3,FALSE))),VLOOKUP($U38,Calendário!$X$57:$Z$76,3,FALSE),"--")</f>
        <v>--</v>
      </c>
      <c r="Z38" s="209">
        <f>IF(NOT(ISERROR(VLOOKUP($U38,Calendário!$D$87:$F$96,3,FALSE))),VLOOKUP($U38,Calendário!$D$87:$F$96,3,FALSE),IF(NOT(ISERROR(VLOOKUP($U38,Calendário!$H$87:$J$96,3,FALSE))),VLOOKUP($U38,Calendário!$H$87:$J$96,3,FALSE),IF(NOT(ISERROR(VLOOKUP($U38,Calendário!$L$87:$N$96,3,FALSE))),VLOOKUP($U38,Calendário!$L$87:$N$96,3,FALSE),IF(NOT(ISERROR(VLOOKUP($U38,Calendário!$P$87:$R$96,3,FALSE))),VLOOKUP($U38,Calendário!$P$87:$R$96,3,FALSE),IF(NOT(ISERROR(VLOOKUP($U38,Calendário!$T$87:$V$96,3,FALSE))),VLOOKUP($U38,Calendário!$T$87:$V$96,3,FALSE),"--")))))</f>
        <v>42738</v>
      </c>
      <c r="AA38" t="str">
        <f>IF(NOT(ISERROR(VLOOKUP($U38,Calendário!$X$87:$Z$96,3,FALSE))),VLOOKUP($U38,Calendário!$X$87:$Z$96,3,FALSE),"--")</f>
        <v>--</v>
      </c>
      <c r="AB38">
        <f>IF(NOT(ISERROR(VLOOKUP($U38,Calendário!$D$97:$F$106,3,FALSE))),VLOOKUP($U38,Calendário!$D$97:$F$106,3,FALSE),IF(NOT(ISERROR(VLOOKUP($U38,Calendário!$H$97:$J$106,3,FALSE))),VLOOKUP($U38,Calendário!$H$97:$J$106,3,FALSE),IF(NOT(ISERROR(VLOOKUP($U38,Calendário!$L$97:$N$106,3,FALSE))),VLOOKUP($U38,Calendário!$L$97:$N$106,3,FALSE),IF(NOT(ISERROR(VLOOKUP($U38,Calendário!$P$97:$R$106,3,FALSE))),VLOOKUP($U38,Calendário!$P$97:$R$106,3,FALSE),IF(NOT(ISERROR(VLOOKUP($U38,Calendário!$T$97:$V$106,3,FALSE))),VLOOKUP($U38,Calendário!$T$97:$V$106,3,FALSE),"--")))))</f>
        <v>42751</v>
      </c>
      <c r="AC38" t="str">
        <f>IF(NOT(ISERROR(VLOOKUP($U38,Calendário!$X$97:$Z$106,3,FALSE))),VLOOKUP($U38,Calendário!$X$97:$Z$106,3,FALSE),"--")</f>
        <v>--</v>
      </c>
      <c r="AD38" s="209" t="str">
        <f>IF(NOT(ISERROR(VLOOKUP($U38,Calendário!$D$7:$F$56,2,FALSE))),VLOOKUP($U38,Calendário!$D$7:$F$56,2,FALSE),IF(NOT(ISERROR(VLOOKUP($U38,Calendário!$H$7:$J$56,2,FALSE))),VLOOKUP($U38,Calendário!$H$7:$J$56,2,FALSE),IF(NOT(ISERROR(VLOOKUP($U38,Calendário!$L$7:$N$56,2,FALSE))),VLOOKUP($U38,Calendário!$L$7:$N$56,2,FALSE),IF(NOT(ISERROR(VLOOKUP($U38,Calendário!$P$7:$R$56,2,FALSE))),VLOOKUP($U38,Calendário!$P$7:$R$56,2,FALSE),IF(NOT(ISERROR(VLOOKUP($U38,Calendário!$T$7:$V$56,2,FALSE))),VLOOKUP($U38,Calendário!$T$7:$V$56,2,FALSE),"--")))))</f>
        <v>14h30</v>
      </c>
      <c r="AE38" t="str">
        <f>IF(NOT(ISERROR(VLOOKUP($U38,Calendário!$X$7:$Z$51,2,FALSE))),VLOOKUP($U38,Calendário!$X$7:$Z$51,2,FALSE),"--")</f>
        <v>--</v>
      </c>
      <c r="AF38" t="str">
        <f>IF(NOT(ISERROR(VLOOKUP($U38,Calendário!$D$57:$F$76,2,FALSE))),VLOOKUP($U38,Calendário!$D$57:$F$76,2,FALSE),IF(NOT(ISERROR(VLOOKUP($U38,Calendário!$H$57:$J$76,2,FALSE))),VLOOKUP($U38,Calendário!$H$57:$J$76,2,FALSE),IF(NOT(ISERROR(VLOOKUP($U38,Calendário!$L$57:$N$76,2,FALSE))),VLOOKUP($U38,Calendário!$L$57:$N$76,2,FALSE),IF(NOT(ISERROR(VLOOKUP($U38,Calendário!$P$57:$R$76,2,FALSE))),VLOOKUP($U38,Calendário!$P$57:$R$76,2,FALSE),IF(NOT(ISERROR(VLOOKUP($U38,Calendário!$T$57:$V$76,2,FALSE))),VLOOKUP($U38,Calendário!$T$57:$V$76,2,FALSE),"--")))))</f>
        <v>9h00</v>
      </c>
      <c r="AG38" t="str">
        <f>IF(NOT(ISERROR(VLOOKUP($U38,Calendário!$X$57:$Z$76,2,FALSE))),VLOOKUP($U38,Calendário!$X$57:$Z$76,2,FALSE),"--")</f>
        <v>--</v>
      </c>
      <c r="AH38" t="str">
        <f>IF(NOT(ISERROR(VLOOKUP($U38,Calendário!$D$87:$F$96,2,FALSE))),VLOOKUP($U38,Calendário!$D$87:$F$96,2,FALSE),IF(NOT(ISERROR(VLOOKUP($U38,Calendário!$H$87:$J$96,2,FALSE))),VLOOKUP($U38,Calendário!$H$87:$J$96,2,FALSE),IF(NOT(ISERROR(VLOOKUP($U38,Calendário!$L$87:$N$96,2,FALSE))),VLOOKUP($U38,Calendário!$L$87:$N$96,2,FALSE),IF(NOT(ISERROR(VLOOKUP($U38,Calendário!$P$87:$R$96,2,FALSE))),VLOOKUP($U38,Calendário!$P$87:$R$96,2,FALSE),IF(NOT(ISERROR(VLOOKUP($U38,Calendário!$T$87:$V$96,2,FALSE))),VLOOKUP($U38,Calendário!$T$87:$V$96,2,FALSE),"--")))))</f>
        <v>10h</v>
      </c>
      <c r="AI38" t="str">
        <f>IF(NOT(ISERROR(VLOOKUP($U38,Calendário!$X$87:$Z$96,2,FALSE))),VLOOKUP($U38,Calendário!$X$87:$Z$96,2,FALSE),"--")</f>
        <v>--</v>
      </c>
      <c r="AJ38" t="str">
        <f>IF(NOT(ISERROR(VLOOKUP($U38,Calendário!$D$97:$F$106,2,FALSE))),VLOOKUP($U38,Calendário!$D$97:$F$106,2,FALSE),IF(NOT(ISERROR(VLOOKUP($U38,Calendário!$H$97:$J$106,2,FALSE))),VLOOKUP($U38,Calendário!$H$97:$J$106,2,FALSE),IF(NOT(ISERROR(VLOOKUP($U38,Calendário!$L$97:$N$106,2,FALSE))),VLOOKUP($U38,Calendário!$L$97:$N$106,2,FALSE),IF(NOT(ISERROR(VLOOKUP($U38,Calendário!$P$97:$R$106,2,FALSE))),VLOOKUP($U38,Calendário!$P$97:$R$106,2,FALSE),IF(NOT(ISERROR(VLOOKUP($U38,Calendário!$T$97:$V$106,2,FALSE))),VLOOKUP($U38,Calendário!$T$97:$V$106,2,FALSE),"--")))))</f>
        <v>10h</v>
      </c>
      <c r="AK38" t="str">
        <f>IF(NOT(ISERROR(VLOOKUP($U38,Calendário!$X$97:$Z$106,2,FALSE))),VLOOKUP($U38,Calendário!$X$97:$Z$106,2,FALSE),"--")</f>
        <v>--</v>
      </c>
    </row>
    <row r="39" spans="2:38" ht="15" x14ac:dyDescent="0.2">
      <c r="B39" s="182" t="s">
        <v>183</v>
      </c>
      <c r="C39" s="148" t="str">
        <f t="shared" ref="C39:C42" si="35">IF(V39&lt;&gt;"--",V39,W39)</f>
        <v>--</v>
      </c>
      <c r="D39" s="39" t="str">
        <f t="shared" ref="D39:D42" si="36">IF(AD39&lt;&gt;"--",AD39,AE39)</f>
        <v>--</v>
      </c>
      <c r="E39" s="219"/>
      <c r="F39" s="239" t="s">
        <v>60</v>
      </c>
      <c r="G39" s="148">
        <f t="shared" ref="G39:G42" si="37">IF(X39&lt;&gt;"--",X39,Y39)</f>
        <v>42703</v>
      </c>
      <c r="H39" s="39" t="str">
        <f>IF(AF39&lt;&gt;"--",AF39,AG39)</f>
        <v>14h30</v>
      </c>
      <c r="I39" s="116"/>
      <c r="J39" s="244" t="s">
        <v>112</v>
      </c>
      <c r="K39" s="148">
        <f t="shared" si="28"/>
        <v>42740</v>
      </c>
      <c r="L39" s="39" t="str">
        <f t="shared" si="29"/>
        <v>14h</v>
      </c>
      <c r="M39" s="238">
        <v>0.03</v>
      </c>
      <c r="N39" s="66" t="s">
        <v>112</v>
      </c>
      <c r="O39" s="148">
        <f t="shared" si="30"/>
        <v>42754</v>
      </c>
      <c r="P39" s="123" t="str">
        <f t="shared" si="31"/>
        <v>14h</v>
      </c>
      <c r="Q39" s="238">
        <v>0.03</v>
      </c>
      <c r="R39" s="66" t="s">
        <v>112</v>
      </c>
      <c r="S39" s="140"/>
      <c r="U39" s="208" t="s">
        <v>182</v>
      </c>
      <c r="V39" s="209" t="str">
        <f>IF(NOT(ISERROR(VLOOKUP($U39,Calendário!$D$7:$F$56,3,FALSE))),VLOOKUP($U39,Calendário!$D$7:$F$56,3,FALSE),IF(NOT(ISERROR(VLOOKUP($U39,Calendário!$H$7:$J$56,3,FALSE))),VLOOKUP($U39,Calendário!$H$7:$J$56,3,FALSE),IF(NOT(ISERROR(VLOOKUP($U39,Calendário!$L$7:$N$56,3,FALSE))),VLOOKUP($U39,Calendário!$L$7:$N$56,3,FALSE),IF(NOT(ISERROR(VLOOKUP($U39,Calendário!$P$7:$R$56,3,FALSE))),VLOOKUP($U39,Calendário!$P$7:$R$56,3,FALSE),IF(NOT(ISERROR(VLOOKUP($U39,Calendário!$T$7:$V$56,3,FALSE))),VLOOKUP($U39,Calendário!$T$7:$V$56,3,FALSE),"--")))))</f>
        <v>--</v>
      </c>
      <c r="W39" t="str">
        <f>IF(NOT(ISERROR(VLOOKUP($U39,Calendário!$X$7:$Z$51,3,FALSE))),VLOOKUP($U39,Calendário!$X$7:$Z$51,3,FALSE),"--")</f>
        <v>--</v>
      </c>
      <c r="X39" s="209">
        <f>IF(NOT(ISERROR(VLOOKUP($U39,Calendário!$D$57:$F$76,3,FALSE))),VLOOKUP($U39,Calendário!$D$57:$F$76,3,FALSE),IF(NOT(ISERROR(VLOOKUP($U39,Calendário!$H$57:$J$76,3,FALSE))),VLOOKUP($U39,Calendário!$H$57:$J$76,3,FALSE),IF(NOT(ISERROR(VLOOKUP($U39,Calendário!$L$57:$N$76,3,FALSE))),VLOOKUP($U39,Calendário!$L$57:$N$76,3,FALSE),IF(NOT(ISERROR(VLOOKUP($U39,Calendário!$P$57:$R$76,3,FALSE))),VLOOKUP($U39,Calendário!$P$57:$R$76,3,FALSE),IF(NOT(ISERROR(VLOOKUP($U39,Calendário!$T$57:$V$76,3,FALSE))),VLOOKUP($U39,Calendário!$T$57:$V$76,3,FALSE),"--")))))</f>
        <v>42703</v>
      </c>
      <c r="Y39" t="str">
        <f>IF(NOT(ISERROR(VLOOKUP($U39,Calendário!$X$57:$Z$76,3,FALSE))),VLOOKUP($U39,Calendário!$X$57:$Z$76,3,FALSE),"--")</f>
        <v>--</v>
      </c>
      <c r="Z39" s="209">
        <f>IF(NOT(ISERROR(VLOOKUP($U39,Calendário!$D$87:$F$96,3,FALSE))),VLOOKUP($U39,Calendário!$D$87:$F$96,3,FALSE),IF(NOT(ISERROR(VLOOKUP($U39,Calendário!$H$87:$J$96,3,FALSE))),VLOOKUP($U39,Calendário!$H$87:$J$96,3,FALSE),IF(NOT(ISERROR(VLOOKUP($U39,Calendário!$L$87:$N$96,3,FALSE))),VLOOKUP($U39,Calendário!$L$87:$N$96,3,FALSE),IF(NOT(ISERROR(VLOOKUP($U39,Calendário!$P$87:$R$96,3,FALSE))),VLOOKUP($U39,Calendário!$P$87:$R$96,3,FALSE),IF(NOT(ISERROR(VLOOKUP($U39,Calendário!$T$87:$V$96,3,FALSE))),VLOOKUP($U39,Calendário!$T$87:$V$96,3,FALSE),"--")))))</f>
        <v>42740</v>
      </c>
      <c r="AA39" t="str">
        <f>IF(NOT(ISERROR(VLOOKUP($U39,Calendário!$X$87:$Z$96,3,FALSE))),VLOOKUP($U39,Calendário!$X$87:$Z$96,3,FALSE),"--")</f>
        <v>--</v>
      </c>
      <c r="AB39">
        <f>IF(NOT(ISERROR(VLOOKUP($U39,Calendário!$D$97:$F$106,3,FALSE))),VLOOKUP($U39,Calendário!$D$97:$F$106,3,FALSE),IF(NOT(ISERROR(VLOOKUP($U39,Calendário!$H$97:$J$106,3,FALSE))),VLOOKUP($U39,Calendário!$H$97:$J$106,3,FALSE),IF(NOT(ISERROR(VLOOKUP($U39,Calendário!$L$97:$N$106,3,FALSE))),VLOOKUP($U39,Calendário!$L$97:$N$106,3,FALSE),IF(NOT(ISERROR(VLOOKUP($U39,Calendário!$P$97:$R$106,3,FALSE))),VLOOKUP($U39,Calendário!$P$97:$R$106,3,FALSE),IF(NOT(ISERROR(VLOOKUP($U39,Calendário!$T$97:$V$106,3,FALSE))),VLOOKUP($U39,Calendário!$T$97:$V$106,3,FALSE),"--")))))</f>
        <v>42754</v>
      </c>
      <c r="AC39" t="str">
        <f>IF(NOT(ISERROR(VLOOKUP($U39,Calendário!$X$97:$Z$106,3,FALSE))),VLOOKUP($U39,Calendário!$X$97:$Z$106,3,FALSE),"--")</f>
        <v>--</v>
      </c>
      <c r="AD39" s="209" t="str">
        <f>IF(NOT(ISERROR(VLOOKUP($U39,Calendário!$D$7:$F$56,2,FALSE))),VLOOKUP($U39,Calendário!$D$7:$F$56,2,FALSE),IF(NOT(ISERROR(VLOOKUP($U39,Calendário!$H$7:$J$56,2,FALSE))),VLOOKUP($U39,Calendário!$H$7:$J$56,2,FALSE),IF(NOT(ISERROR(VLOOKUP($U39,Calendário!$L$7:$N$56,2,FALSE))),VLOOKUP($U39,Calendário!$L$7:$N$56,2,FALSE),IF(NOT(ISERROR(VLOOKUP($U39,Calendário!$P$7:$R$56,2,FALSE))),VLOOKUP($U39,Calendário!$P$7:$R$56,2,FALSE),IF(NOT(ISERROR(VLOOKUP($U39,Calendário!$T$7:$V$56,2,FALSE))),VLOOKUP($U39,Calendário!$T$7:$V$56,2,FALSE),"--")))))</f>
        <v>--</v>
      </c>
      <c r="AE39" t="str">
        <f>IF(NOT(ISERROR(VLOOKUP($U39,Calendário!$X$7:$Z$51,2,FALSE))),VLOOKUP($U39,Calendário!$X$7:$Z$51,2,FALSE),"--")</f>
        <v>--</v>
      </c>
      <c r="AF39" t="str">
        <f>IF(NOT(ISERROR(VLOOKUP($U39,Calendário!$D$57:$F$76,2,FALSE))),VLOOKUP($U39,Calendário!$D$57:$F$76,2,FALSE),IF(NOT(ISERROR(VLOOKUP($U39,Calendário!$H$57:$J$76,2,FALSE))),VLOOKUP($U39,Calendário!$H$57:$J$76,2,FALSE),IF(NOT(ISERROR(VLOOKUP($U39,Calendário!$L$57:$N$76,2,FALSE))),VLOOKUP($U39,Calendário!$L$57:$N$76,2,FALSE),IF(NOT(ISERROR(VLOOKUP($U39,Calendário!$P$57:$R$76,2,FALSE))),VLOOKUP($U39,Calendário!$P$57:$R$76,2,FALSE),IF(NOT(ISERROR(VLOOKUP($U39,Calendário!$T$57:$V$76,2,FALSE))),VLOOKUP($U39,Calendário!$T$57:$V$76,2,FALSE),"--")))))</f>
        <v>14h30</v>
      </c>
      <c r="AG39" t="str">
        <f>IF(NOT(ISERROR(VLOOKUP($U39,Calendário!$X$57:$Z$76,2,FALSE))),VLOOKUP($U39,Calendário!$X$57:$Z$76,2,FALSE),"--")</f>
        <v>--</v>
      </c>
      <c r="AH39" t="str">
        <f>IF(NOT(ISERROR(VLOOKUP($U39,Calendário!$D$87:$F$96,2,FALSE))),VLOOKUP($U39,Calendário!$D$87:$F$96,2,FALSE),IF(NOT(ISERROR(VLOOKUP($U39,Calendário!$H$87:$J$96,2,FALSE))),VLOOKUP($U39,Calendário!$H$87:$J$96,2,FALSE),IF(NOT(ISERROR(VLOOKUP($U39,Calendário!$L$87:$N$96,2,FALSE))),VLOOKUP($U39,Calendário!$L$87:$N$96,2,FALSE),IF(NOT(ISERROR(VLOOKUP($U39,Calendário!$P$87:$R$96,2,FALSE))),VLOOKUP($U39,Calendário!$P$87:$R$96,2,FALSE),IF(NOT(ISERROR(VLOOKUP($U39,Calendário!$T$87:$V$96,2,FALSE))),VLOOKUP($U39,Calendário!$T$87:$V$96,2,FALSE),"--")))))</f>
        <v>14h</v>
      </c>
      <c r="AI39" t="str">
        <f>IF(NOT(ISERROR(VLOOKUP($U39,Calendário!$X$87:$Z$96,2,FALSE))),VLOOKUP($U39,Calendário!$X$87:$Z$96,2,FALSE),"--")</f>
        <v>--</v>
      </c>
      <c r="AJ39" t="str">
        <f>IF(NOT(ISERROR(VLOOKUP($U39,Calendário!$D$97:$F$106,2,FALSE))),VLOOKUP($U39,Calendário!$D$97:$F$106,2,FALSE),IF(NOT(ISERROR(VLOOKUP($U39,Calendário!$H$97:$J$106,2,FALSE))),VLOOKUP($U39,Calendário!$H$97:$J$106,2,FALSE),IF(NOT(ISERROR(VLOOKUP($U39,Calendário!$L$97:$N$106,2,FALSE))),VLOOKUP($U39,Calendário!$L$97:$N$106,2,FALSE),IF(NOT(ISERROR(VLOOKUP($U39,Calendário!$P$97:$R$106,2,FALSE))),VLOOKUP($U39,Calendário!$P$97:$R$106,2,FALSE),IF(NOT(ISERROR(VLOOKUP($U39,Calendário!$T$97:$V$106,2,FALSE))),VLOOKUP($U39,Calendário!$T$97:$V$106,2,FALSE),"--")))))</f>
        <v>14h</v>
      </c>
      <c r="AK39" t="str">
        <f>IF(NOT(ISERROR(VLOOKUP($U39,Calendário!$X$97:$Z$106,2,FALSE))),VLOOKUP($U39,Calendário!$X$97:$Z$106,2,FALSE),"--")</f>
        <v>--</v>
      </c>
    </row>
    <row r="40" spans="2:38" ht="15" x14ac:dyDescent="0.2">
      <c r="B40" s="147" t="s">
        <v>35</v>
      </c>
      <c r="C40" s="148" t="str">
        <f t="shared" si="35"/>
        <v>--</v>
      </c>
      <c r="D40" s="39" t="str">
        <f t="shared" si="36"/>
        <v>--</v>
      </c>
      <c r="E40" s="217"/>
      <c r="F40" s="238" t="s">
        <v>101</v>
      </c>
      <c r="G40" s="148">
        <f t="shared" si="37"/>
        <v>42711</v>
      </c>
      <c r="H40" s="39" t="str">
        <f t="shared" ref="H40:H42" si="38">IF(AF40&lt;&gt;"--",AF40,AG40)</f>
        <v>14h30</v>
      </c>
      <c r="I40" s="111"/>
      <c r="J40" s="244" t="s">
        <v>101</v>
      </c>
      <c r="K40" s="148">
        <f t="shared" si="28"/>
        <v>42748</v>
      </c>
      <c r="L40" s="39" t="str">
        <f t="shared" si="29"/>
        <v>10h</v>
      </c>
      <c r="M40" s="238">
        <v>2.04</v>
      </c>
      <c r="N40" s="66" t="s">
        <v>101</v>
      </c>
      <c r="O40" s="148">
        <f t="shared" si="30"/>
        <v>42762</v>
      </c>
      <c r="P40" s="123" t="str">
        <f t="shared" si="31"/>
        <v>10h</v>
      </c>
      <c r="Q40" s="238">
        <v>2.04</v>
      </c>
      <c r="R40" s="66" t="s">
        <v>101</v>
      </c>
      <c r="S40" s="140"/>
      <c r="U40" s="57" t="s">
        <v>64</v>
      </c>
      <c r="V40" s="209" t="str">
        <f>IF(NOT(ISERROR(VLOOKUP($U40,Calendário!$D$7:$F$56,3,FALSE))),VLOOKUP($U40,Calendário!$D$7:$F$56,3,FALSE),IF(NOT(ISERROR(VLOOKUP($U40,Calendário!$H$7:$J$56,3,FALSE))),VLOOKUP($U40,Calendário!$H$7:$J$56,3,FALSE),IF(NOT(ISERROR(VLOOKUP($U40,Calendário!$L$7:$N$56,3,FALSE))),VLOOKUP($U40,Calendário!$L$7:$N$56,3,FALSE),IF(NOT(ISERROR(VLOOKUP($U40,Calendário!$P$7:$R$56,3,FALSE))),VLOOKUP($U40,Calendário!$P$7:$R$56,3,FALSE),IF(NOT(ISERROR(VLOOKUP($U40,Calendário!$T$7:$V$56,3,FALSE))),VLOOKUP($U40,Calendário!$T$7:$V$56,3,FALSE),"--")))))</f>
        <v>--</v>
      </c>
      <c r="W40" t="str">
        <f>IF(NOT(ISERROR(VLOOKUP($U40,Calendário!$X$7:$Z$51,3,FALSE))),VLOOKUP($U40,Calendário!$X$7:$Z$51,3,FALSE),"--")</f>
        <v>--</v>
      </c>
      <c r="X40" s="209">
        <f>IF(NOT(ISERROR(VLOOKUP($U40,Calendário!$D$57:$F$76,3,FALSE))),VLOOKUP($U40,Calendário!$D$57:$F$76,3,FALSE),IF(NOT(ISERROR(VLOOKUP($U40,Calendário!$H$57:$J$76,3,FALSE))),VLOOKUP($U40,Calendário!$H$57:$J$76,3,FALSE),IF(NOT(ISERROR(VLOOKUP($U40,Calendário!$L$57:$N$76,3,FALSE))),VLOOKUP($U40,Calendário!$L$57:$N$76,3,FALSE),IF(NOT(ISERROR(VLOOKUP($U40,Calendário!$P$57:$R$76,3,FALSE))),VLOOKUP($U40,Calendário!$P$57:$R$76,3,FALSE),IF(NOT(ISERROR(VLOOKUP($U40,Calendário!$T$57:$V$76,3,FALSE))),VLOOKUP($U40,Calendário!$T$57:$V$76,3,FALSE),"--")))))</f>
        <v>42711</v>
      </c>
      <c r="Y40" t="str">
        <f>IF(NOT(ISERROR(VLOOKUP($U40,Calendário!$X$57:$Z$76,3,FALSE))),VLOOKUP($U40,Calendário!$X$57:$Z$76,3,FALSE),"--")</f>
        <v>--</v>
      </c>
      <c r="Z40" s="209">
        <f>IF(NOT(ISERROR(VLOOKUP($U40,Calendário!$D$87:$F$96,3,FALSE))),VLOOKUP($U40,Calendário!$D$87:$F$96,3,FALSE),IF(NOT(ISERROR(VLOOKUP($U40,Calendário!$H$87:$J$96,3,FALSE))),VLOOKUP($U40,Calendário!$H$87:$J$96,3,FALSE),IF(NOT(ISERROR(VLOOKUP($U40,Calendário!$L$87:$N$96,3,FALSE))),VLOOKUP($U40,Calendário!$L$87:$N$96,3,FALSE),IF(NOT(ISERROR(VLOOKUP($U40,Calendário!$P$87:$R$96,3,FALSE))),VLOOKUP($U40,Calendário!$P$87:$R$96,3,FALSE),IF(NOT(ISERROR(VLOOKUP($U40,Calendário!$T$87:$V$96,3,FALSE))),VLOOKUP($U40,Calendário!$T$87:$V$96,3,FALSE),"--")))))</f>
        <v>42748</v>
      </c>
      <c r="AA40" t="str">
        <f>IF(NOT(ISERROR(VLOOKUP($U40,Calendário!$X$87:$Z$96,3,FALSE))),VLOOKUP($U40,Calendário!$X$87:$Z$96,3,FALSE),"--")</f>
        <v>--</v>
      </c>
      <c r="AB40">
        <f>IF(NOT(ISERROR(VLOOKUP($U40,Calendário!$D$97:$F$106,3,FALSE))),VLOOKUP($U40,Calendário!$D$97:$F$106,3,FALSE),IF(NOT(ISERROR(VLOOKUP($U40,Calendário!$H$97:$J$106,3,FALSE))),VLOOKUP($U40,Calendário!$H$97:$J$106,3,FALSE),IF(NOT(ISERROR(VLOOKUP($U40,Calendário!$L$97:$N$106,3,FALSE))),VLOOKUP($U40,Calendário!$L$97:$N$106,3,FALSE),IF(NOT(ISERROR(VLOOKUP($U40,Calendário!$P$97:$R$106,3,FALSE))),VLOOKUP($U40,Calendário!$P$97:$R$106,3,FALSE),IF(NOT(ISERROR(VLOOKUP($U40,Calendário!$T$97:$V$106,3,FALSE))),VLOOKUP($U40,Calendário!$T$97:$V$106,3,FALSE),"--")))))</f>
        <v>42762</v>
      </c>
      <c r="AC40" t="str">
        <f>IF(NOT(ISERROR(VLOOKUP($U40,Calendário!$X$97:$Z$106,3,FALSE))),VLOOKUP($U40,Calendário!$X$97:$Z$106,3,FALSE),"--")</f>
        <v>--</v>
      </c>
      <c r="AD40" s="209" t="str">
        <f>IF(NOT(ISERROR(VLOOKUP($U40,Calendário!$D$7:$F$56,2,FALSE))),VLOOKUP($U40,Calendário!$D$7:$F$56,2,FALSE),IF(NOT(ISERROR(VLOOKUP($U40,Calendário!$H$7:$J$56,2,FALSE))),VLOOKUP($U40,Calendário!$H$7:$J$56,2,FALSE),IF(NOT(ISERROR(VLOOKUP($U40,Calendário!$L$7:$N$56,2,FALSE))),VLOOKUP($U40,Calendário!$L$7:$N$56,2,FALSE),IF(NOT(ISERROR(VLOOKUP($U40,Calendário!$P$7:$R$56,2,FALSE))),VLOOKUP($U40,Calendário!$P$7:$R$56,2,FALSE),IF(NOT(ISERROR(VLOOKUP($U40,Calendário!$T$7:$V$56,2,FALSE))),VLOOKUP($U40,Calendário!$T$7:$V$56,2,FALSE),"--")))))</f>
        <v>--</v>
      </c>
      <c r="AE40" t="str">
        <f>IF(NOT(ISERROR(VLOOKUP($U40,Calendário!$X$7:$Z$51,2,FALSE))),VLOOKUP($U40,Calendário!$X$7:$Z$51,2,FALSE),"--")</f>
        <v>--</v>
      </c>
      <c r="AF40" t="str">
        <f>IF(NOT(ISERROR(VLOOKUP($U40,Calendário!$D$57:$F$76,2,FALSE))),VLOOKUP($U40,Calendário!$D$57:$F$76,2,FALSE),IF(NOT(ISERROR(VLOOKUP($U40,Calendário!$H$57:$J$76,2,FALSE))),VLOOKUP($U40,Calendário!$H$57:$J$76,2,FALSE),IF(NOT(ISERROR(VLOOKUP($U40,Calendário!$L$57:$N$76,2,FALSE))),VLOOKUP($U40,Calendário!$L$57:$N$76,2,FALSE),IF(NOT(ISERROR(VLOOKUP($U40,Calendário!$P$57:$R$76,2,FALSE))),VLOOKUP($U40,Calendário!$P$57:$R$76,2,FALSE),IF(NOT(ISERROR(VLOOKUP($U40,Calendário!$T$57:$V$76,2,FALSE))),VLOOKUP($U40,Calendário!$T$57:$V$76,2,FALSE),"--")))))</f>
        <v>14h30</v>
      </c>
      <c r="AG40" t="str">
        <f>IF(NOT(ISERROR(VLOOKUP($U40,Calendário!$X$57:$Z$76,2,FALSE))),VLOOKUP($U40,Calendário!$X$57:$Z$76,2,FALSE),"--")</f>
        <v>--</v>
      </c>
      <c r="AH40" t="str">
        <f>IF(NOT(ISERROR(VLOOKUP($U40,Calendário!$D$87:$F$96,2,FALSE))),VLOOKUP($U40,Calendário!$D$87:$F$96,2,FALSE),IF(NOT(ISERROR(VLOOKUP($U40,Calendário!$H$87:$J$96,2,FALSE))),VLOOKUP($U40,Calendário!$H$87:$J$96,2,FALSE),IF(NOT(ISERROR(VLOOKUP($U40,Calendário!$L$87:$N$96,2,FALSE))),VLOOKUP($U40,Calendário!$L$87:$N$96,2,FALSE),IF(NOT(ISERROR(VLOOKUP($U40,Calendário!$P$87:$R$96,2,FALSE))),VLOOKUP($U40,Calendário!$P$87:$R$96,2,FALSE),IF(NOT(ISERROR(VLOOKUP($U40,Calendário!$T$87:$V$96,2,FALSE))),VLOOKUP($U40,Calendário!$T$87:$V$96,2,FALSE),"--")))))</f>
        <v>10h</v>
      </c>
      <c r="AI40" t="str">
        <f>IF(NOT(ISERROR(VLOOKUP($U40,Calendário!$X$87:$Z$96,2,FALSE))),VLOOKUP($U40,Calendário!$X$87:$Z$96,2,FALSE),"--")</f>
        <v>--</v>
      </c>
      <c r="AJ40" t="str">
        <f>IF(NOT(ISERROR(VLOOKUP($U40,Calendário!$D$97:$F$106,2,FALSE))),VLOOKUP($U40,Calendário!$D$97:$F$106,2,FALSE),IF(NOT(ISERROR(VLOOKUP($U40,Calendário!$H$97:$J$106,2,FALSE))),VLOOKUP($U40,Calendário!$H$97:$J$106,2,FALSE),IF(NOT(ISERROR(VLOOKUP($U40,Calendário!$L$97:$N$106,2,FALSE))),VLOOKUP($U40,Calendário!$L$97:$N$106,2,FALSE),IF(NOT(ISERROR(VLOOKUP($U40,Calendário!$P$97:$R$106,2,FALSE))),VLOOKUP($U40,Calendário!$P$97:$R$106,2,FALSE),IF(NOT(ISERROR(VLOOKUP($U40,Calendário!$T$97:$V$106,2,FALSE))),VLOOKUP($U40,Calendário!$T$97:$V$106,2,FALSE),"--")))))</f>
        <v>10h</v>
      </c>
      <c r="AK40" t="str">
        <f>IF(NOT(ISERROR(VLOOKUP($U40,Calendário!$X$97:$Z$106,2,FALSE))),VLOOKUP($U40,Calendário!$X$97:$Z$106,2,FALSE),"--")</f>
        <v>--</v>
      </c>
    </row>
    <row r="41" spans="2:38" ht="15" x14ac:dyDescent="0.2">
      <c r="B41" s="149" t="s">
        <v>36</v>
      </c>
      <c r="C41" s="148" t="str">
        <f t="shared" si="35"/>
        <v>--</v>
      </c>
      <c r="D41" s="39" t="str">
        <f t="shared" si="36"/>
        <v>--</v>
      </c>
      <c r="E41" s="219"/>
      <c r="F41" s="239" t="s">
        <v>60</v>
      </c>
      <c r="G41" s="148">
        <f t="shared" si="37"/>
        <v>42718</v>
      </c>
      <c r="H41" s="39" t="str">
        <f t="shared" si="38"/>
        <v>14h30</v>
      </c>
      <c r="I41" s="146"/>
      <c r="J41" s="244" t="s">
        <v>97</v>
      </c>
      <c r="K41" s="148">
        <f t="shared" si="28"/>
        <v>42741</v>
      </c>
      <c r="L41" s="39" t="str">
        <f t="shared" si="29"/>
        <v>10h</v>
      </c>
      <c r="M41" s="238">
        <v>2.04</v>
      </c>
      <c r="N41" s="66" t="s">
        <v>97</v>
      </c>
      <c r="O41" s="148">
        <f t="shared" si="30"/>
        <v>42755</v>
      </c>
      <c r="P41" s="39" t="str">
        <f t="shared" si="31"/>
        <v>10h</v>
      </c>
      <c r="Q41" s="238">
        <v>2.04</v>
      </c>
      <c r="R41" s="66" t="s">
        <v>97</v>
      </c>
      <c r="S41" s="140"/>
      <c r="U41" s="57" t="s">
        <v>68</v>
      </c>
      <c r="V41" s="209" t="str">
        <f>IF(NOT(ISERROR(VLOOKUP($U41,Calendário!$D$7:$F$56,3,FALSE))),VLOOKUP($U41,Calendário!$D$7:$F$56,3,FALSE),IF(NOT(ISERROR(VLOOKUP($U41,Calendário!$H$7:$J$56,3,FALSE))),VLOOKUP($U41,Calendário!$H$7:$J$56,3,FALSE),IF(NOT(ISERROR(VLOOKUP($U41,Calendário!$L$7:$N$56,3,FALSE))),VLOOKUP($U41,Calendário!$L$7:$N$56,3,FALSE),IF(NOT(ISERROR(VLOOKUP($U41,Calendário!$P$7:$R$56,3,FALSE))),VLOOKUP($U41,Calendário!$P$7:$R$56,3,FALSE),IF(NOT(ISERROR(VLOOKUP($U41,Calendário!$T$7:$V$56,3,FALSE))),VLOOKUP($U41,Calendário!$T$7:$V$56,3,FALSE),"--")))))</f>
        <v>--</v>
      </c>
      <c r="W41" t="str">
        <f>IF(NOT(ISERROR(VLOOKUP($U41,Calendário!$X$7:$Z$51,3,FALSE))),VLOOKUP($U41,Calendário!$X$7:$Z$51,3,FALSE),"--")</f>
        <v>--</v>
      </c>
      <c r="X41" s="209">
        <f>IF(NOT(ISERROR(VLOOKUP($U41,Calendário!$D$57:$F$76,3,FALSE))),VLOOKUP($U41,Calendário!$D$57:$F$76,3,FALSE),IF(NOT(ISERROR(VLOOKUP($U41,Calendário!$H$57:$J$76,3,FALSE))),VLOOKUP($U41,Calendário!$H$57:$J$76,3,FALSE),IF(NOT(ISERROR(VLOOKUP($U41,Calendário!$L$57:$N$76,3,FALSE))),VLOOKUP($U41,Calendário!$L$57:$N$76,3,FALSE),IF(NOT(ISERROR(VLOOKUP($U41,Calendário!$P$57:$R$76,3,FALSE))),VLOOKUP($U41,Calendário!$P$57:$R$76,3,FALSE),IF(NOT(ISERROR(VLOOKUP($U41,Calendário!$T$57:$V$76,3,FALSE))),VLOOKUP($U41,Calendário!$T$57:$V$76,3,FALSE),"--")))))</f>
        <v>42718</v>
      </c>
      <c r="Y41" t="str">
        <f>IF(NOT(ISERROR(VLOOKUP($U41,Calendário!$X$57:$Z$76,3,FALSE))),VLOOKUP($U41,Calendário!$X$57:$Z$76,3,FALSE),"--")</f>
        <v>--</v>
      </c>
      <c r="Z41" s="209">
        <f>IF(NOT(ISERROR(VLOOKUP($U41,Calendário!$D$87:$F$96,3,FALSE))),VLOOKUP($U41,Calendário!$D$87:$F$96,3,FALSE),IF(NOT(ISERROR(VLOOKUP($U41,Calendário!$H$87:$J$96,3,FALSE))),VLOOKUP($U41,Calendário!$H$87:$J$96,3,FALSE),IF(NOT(ISERROR(VLOOKUP($U41,Calendário!$L$87:$N$96,3,FALSE))),VLOOKUP($U41,Calendário!$L$87:$N$96,3,FALSE),IF(NOT(ISERROR(VLOOKUP($U41,Calendário!$P$87:$R$96,3,FALSE))),VLOOKUP($U41,Calendário!$P$87:$R$96,3,FALSE),IF(NOT(ISERROR(VLOOKUP($U41,Calendário!$T$87:$V$96,3,FALSE))),VLOOKUP($U41,Calendário!$T$87:$V$96,3,FALSE),"--")))))</f>
        <v>42741</v>
      </c>
      <c r="AA41" t="str">
        <f>IF(NOT(ISERROR(VLOOKUP($U41,Calendário!$X$87:$Z$96,3,FALSE))),VLOOKUP($U41,Calendário!$X$87:$Z$96,3,FALSE),"--")</f>
        <v>--</v>
      </c>
      <c r="AB41">
        <f>IF(NOT(ISERROR(VLOOKUP($U41,Calendário!$D$97:$F$106,3,FALSE))),VLOOKUP($U41,Calendário!$D$97:$F$106,3,FALSE),IF(NOT(ISERROR(VLOOKUP($U41,Calendário!$H$97:$J$106,3,FALSE))),VLOOKUP($U41,Calendário!$H$97:$J$106,3,FALSE),IF(NOT(ISERROR(VLOOKUP($U41,Calendário!$L$97:$N$106,3,FALSE))),VLOOKUP($U41,Calendário!$L$97:$N$106,3,FALSE),IF(NOT(ISERROR(VLOOKUP($U41,Calendário!$P$97:$R$106,3,FALSE))),VLOOKUP($U41,Calendário!$P$97:$R$106,3,FALSE),IF(NOT(ISERROR(VLOOKUP($U41,Calendário!$T$97:$V$106,3,FALSE))),VLOOKUP($U41,Calendário!$T$97:$V$106,3,FALSE),"--")))))</f>
        <v>42755</v>
      </c>
      <c r="AC41" t="str">
        <f>IF(NOT(ISERROR(VLOOKUP($U41,Calendário!$X$97:$Z$106,3,FALSE))),VLOOKUP($U41,Calendário!$X$97:$Z$106,3,FALSE),"--")</f>
        <v>--</v>
      </c>
      <c r="AD41" s="209" t="str">
        <f>IF(NOT(ISERROR(VLOOKUP($U41,Calendário!$D$7:$F$56,2,FALSE))),VLOOKUP($U41,Calendário!$D$7:$F$56,2,FALSE),IF(NOT(ISERROR(VLOOKUP($U41,Calendário!$H$7:$J$56,2,FALSE))),VLOOKUP($U41,Calendário!$H$7:$J$56,2,FALSE),IF(NOT(ISERROR(VLOOKUP($U41,Calendário!$L$7:$N$56,2,FALSE))),VLOOKUP($U41,Calendário!$L$7:$N$56,2,FALSE),IF(NOT(ISERROR(VLOOKUP($U41,Calendário!$P$7:$R$56,2,FALSE))),VLOOKUP($U41,Calendário!$P$7:$R$56,2,FALSE),IF(NOT(ISERROR(VLOOKUP($U41,Calendário!$T$7:$V$56,2,FALSE))),VLOOKUP($U41,Calendário!$T$7:$V$56,2,FALSE),"--")))))</f>
        <v>--</v>
      </c>
      <c r="AE41" t="str">
        <f>IF(NOT(ISERROR(VLOOKUP($U41,Calendário!$X$7:$Z$51,2,FALSE))),VLOOKUP($U41,Calendário!$X$7:$Z$51,2,FALSE),"--")</f>
        <v>--</v>
      </c>
      <c r="AF41" t="str">
        <f>IF(NOT(ISERROR(VLOOKUP($U41,Calendário!$D$57:$F$76,2,FALSE))),VLOOKUP($U41,Calendário!$D$57:$F$76,2,FALSE),IF(NOT(ISERROR(VLOOKUP($U41,Calendário!$H$57:$J$76,2,FALSE))),VLOOKUP($U41,Calendário!$H$57:$J$76,2,FALSE),IF(NOT(ISERROR(VLOOKUP($U41,Calendário!$L$57:$N$76,2,FALSE))),VLOOKUP($U41,Calendário!$L$57:$N$76,2,FALSE),IF(NOT(ISERROR(VLOOKUP($U41,Calendário!$P$57:$R$76,2,FALSE))),VLOOKUP($U41,Calendário!$P$57:$R$76,2,FALSE),IF(NOT(ISERROR(VLOOKUP($U41,Calendário!$T$57:$V$76,2,FALSE))),VLOOKUP($U41,Calendário!$T$57:$V$76,2,FALSE),"--")))))</f>
        <v>14h30</v>
      </c>
      <c r="AG41" t="str">
        <f>IF(NOT(ISERROR(VLOOKUP($U41,Calendário!$X$57:$Z$76,2,FALSE))),VLOOKUP($U41,Calendário!$X$57:$Z$76,2,FALSE),"--")</f>
        <v>--</v>
      </c>
      <c r="AH41" t="str">
        <f>IF(NOT(ISERROR(VLOOKUP($U41,Calendário!$D$87:$F$96,2,FALSE))),VLOOKUP($U41,Calendário!$D$87:$F$96,2,FALSE),IF(NOT(ISERROR(VLOOKUP($U41,Calendário!$H$87:$J$96,2,FALSE))),VLOOKUP($U41,Calendário!$H$87:$J$96,2,FALSE),IF(NOT(ISERROR(VLOOKUP($U41,Calendário!$L$87:$N$96,2,FALSE))),VLOOKUP($U41,Calendário!$L$87:$N$96,2,FALSE),IF(NOT(ISERROR(VLOOKUP($U41,Calendário!$P$87:$R$96,2,FALSE))),VLOOKUP($U41,Calendário!$P$87:$R$96,2,FALSE),IF(NOT(ISERROR(VLOOKUP($U41,Calendário!$T$87:$V$96,2,FALSE))),VLOOKUP($U41,Calendário!$T$87:$V$96,2,FALSE),"--")))))</f>
        <v>10h</v>
      </c>
      <c r="AI41" t="str">
        <f>IF(NOT(ISERROR(VLOOKUP($U41,Calendário!$X$87:$Z$96,2,FALSE))),VLOOKUP($U41,Calendário!$X$87:$Z$96,2,FALSE),"--")</f>
        <v>--</v>
      </c>
      <c r="AJ41" t="str">
        <f>IF(NOT(ISERROR(VLOOKUP($U41,Calendário!$D$97:$F$106,2,FALSE))),VLOOKUP($U41,Calendário!$D$97:$F$106,2,FALSE),IF(NOT(ISERROR(VLOOKUP($U41,Calendário!$H$97:$J$106,2,FALSE))),VLOOKUP($U41,Calendário!$H$97:$J$106,2,FALSE),IF(NOT(ISERROR(VLOOKUP($U41,Calendário!$L$97:$N$106,2,FALSE))),VLOOKUP($U41,Calendário!$L$97:$N$106,2,FALSE),IF(NOT(ISERROR(VLOOKUP($U41,Calendário!$P$97:$R$106,2,FALSE))),VLOOKUP($U41,Calendário!$P$97:$R$106,2,FALSE),IF(NOT(ISERROR(VLOOKUP($U41,Calendário!$T$97:$V$106,2,FALSE))),VLOOKUP($U41,Calendário!$T$97:$V$106,2,FALSE),"--")))))</f>
        <v>10h</v>
      </c>
      <c r="AK41" t="str">
        <f>IF(NOT(ISERROR(VLOOKUP($U41,Calendário!$X$97:$Z$106,2,FALSE))),VLOOKUP($U41,Calendário!$X$97:$Z$106,2,FALSE),"--")</f>
        <v>--</v>
      </c>
    </row>
    <row r="42" spans="2:38" ht="15" x14ac:dyDescent="0.2">
      <c r="B42" s="182" t="s">
        <v>184</v>
      </c>
      <c r="C42" s="148" t="str">
        <f t="shared" si="35"/>
        <v>--</v>
      </c>
      <c r="D42" s="39" t="str">
        <f t="shared" si="36"/>
        <v>--</v>
      </c>
      <c r="E42" s="219"/>
      <c r="F42" s="239" t="s">
        <v>149</v>
      </c>
      <c r="G42" s="148">
        <f t="shared" si="37"/>
        <v>42704</v>
      </c>
      <c r="H42" s="39" t="str">
        <f t="shared" si="38"/>
        <v>14h30</v>
      </c>
      <c r="I42" s="116"/>
      <c r="J42" s="244" t="s">
        <v>149</v>
      </c>
      <c r="K42" s="148">
        <f t="shared" si="28"/>
        <v>42744</v>
      </c>
      <c r="L42" s="39" t="str">
        <f t="shared" si="29"/>
        <v>10h</v>
      </c>
      <c r="M42" s="238">
        <v>2.04</v>
      </c>
      <c r="N42" s="116" t="s">
        <v>149</v>
      </c>
      <c r="O42" s="148">
        <f t="shared" si="30"/>
        <v>42758</v>
      </c>
      <c r="P42" s="39" t="str">
        <f t="shared" si="31"/>
        <v>10h</v>
      </c>
      <c r="Q42" s="238">
        <v>2.04</v>
      </c>
      <c r="R42" s="116" t="s">
        <v>149</v>
      </c>
      <c r="S42" s="140"/>
      <c r="U42" s="208" t="s">
        <v>185</v>
      </c>
      <c r="V42" s="209" t="str">
        <f>IF(NOT(ISERROR(VLOOKUP($U42,Calendário!$D$7:$F$56,3,FALSE))),VLOOKUP($U42,Calendário!$D$7:$F$56,3,FALSE),IF(NOT(ISERROR(VLOOKUP($U42,Calendário!$H$7:$J$56,3,FALSE))),VLOOKUP($U42,Calendário!$H$7:$J$56,3,FALSE),IF(NOT(ISERROR(VLOOKUP($U42,Calendário!$L$7:$N$56,3,FALSE))),VLOOKUP($U42,Calendário!$L$7:$N$56,3,FALSE),IF(NOT(ISERROR(VLOOKUP($U42,Calendário!$P$7:$R$56,3,FALSE))),VLOOKUP($U42,Calendário!$P$7:$R$56,3,FALSE),IF(NOT(ISERROR(VLOOKUP($U42,Calendário!$T$7:$V$56,3,FALSE))),VLOOKUP($U42,Calendário!$T$7:$V$56,3,FALSE),"--")))))</f>
        <v>--</v>
      </c>
      <c r="W42" t="str">
        <f>IF(NOT(ISERROR(VLOOKUP($U42,Calendário!$X$7:$Z$51,3,FALSE))),VLOOKUP($U42,Calendário!$X$7:$Z$51,3,FALSE),"--")</f>
        <v>--</v>
      </c>
      <c r="X42" s="209">
        <f>IF(NOT(ISERROR(VLOOKUP($U42,Calendário!$D$57:$F$76,3,FALSE))),VLOOKUP($U42,Calendário!$D$57:$F$76,3,FALSE),IF(NOT(ISERROR(VLOOKUP($U42,Calendário!$H$57:$J$76,3,FALSE))),VLOOKUP($U42,Calendário!$H$57:$J$76,3,FALSE),IF(NOT(ISERROR(VLOOKUP($U42,Calendário!$L$57:$N$76,3,FALSE))),VLOOKUP($U42,Calendário!$L$57:$N$76,3,FALSE),IF(NOT(ISERROR(VLOOKUP($U42,Calendário!$P$57:$R$76,3,FALSE))),VLOOKUP($U42,Calendário!$P$57:$R$76,3,FALSE),IF(NOT(ISERROR(VLOOKUP($U42,Calendário!$T$57:$V$76,3,FALSE))),VLOOKUP($U42,Calendário!$T$57:$V$76,3,FALSE),"--")))))</f>
        <v>42704</v>
      </c>
      <c r="Y42" t="str">
        <f>IF(NOT(ISERROR(VLOOKUP($U42,Calendário!$X$57:$Z$76,3,FALSE))),VLOOKUP($U42,Calendário!$X$57:$Z$76,3,FALSE),"--")</f>
        <v>--</v>
      </c>
      <c r="Z42" s="209">
        <f>IF(NOT(ISERROR(VLOOKUP($U42,Calendário!$D$87:$F$96,3,FALSE))),VLOOKUP($U42,Calendário!$D$87:$F$96,3,FALSE),IF(NOT(ISERROR(VLOOKUP($U42,Calendário!$H$87:$J$96,3,FALSE))),VLOOKUP($U42,Calendário!$H$87:$J$96,3,FALSE),IF(NOT(ISERROR(VLOOKUP($U42,Calendário!$L$87:$N$96,3,FALSE))),VLOOKUP($U42,Calendário!$L$87:$N$96,3,FALSE),IF(NOT(ISERROR(VLOOKUP($U42,Calendário!$P$87:$R$96,3,FALSE))),VLOOKUP($U42,Calendário!$P$87:$R$96,3,FALSE),IF(NOT(ISERROR(VLOOKUP($U42,Calendário!$T$87:$V$96,3,FALSE))),VLOOKUP($U42,Calendário!$T$87:$V$96,3,FALSE),"--")))))</f>
        <v>42744</v>
      </c>
      <c r="AA42" t="str">
        <f>IF(NOT(ISERROR(VLOOKUP($U42,Calendário!$X$87:$Z$96,3,FALSE))),VLOOKUP($U42,Calendário!$X$87:$Z$96,3,FALSE),"--")</f>
        <v>--</v>
      </c>
      <c r="AB42">
        <f>IF(NOT(ISERROR(VLOOKUP($U42,Calendário!$D$97:$F$106,3,FALSE))),VLOOKUP($U42,Calendário!$D$97:$F$106,3,FALSE),IF(NOT(ISERROR(VLOOKUP($U42,Calendário!$H$97:$J$106,3,FALSE))),VLOOKUP($U42,Calendário!$H$97:$J$106,3,FALSE),IF(NOT(ISERROR(VLOOKUP($U42,Calendário!$L$97:$N$106,3,FALSE))),VLOOKUP($U42,Calendário!$L$97:$N$106,3,FALSE),IF(NOT(ISERROR(VLOOKUP($U42,Calendário!$P$97:$R$106,3,FALSE))),VLOOKUP($U42,Calendário!$P$97:$R$106,3,FALSE),IF(NOT(ISERROR(VLOOKUP($U42,Calendário!$T$97:$V$106,3,FALSE))),VLOOKUP($U42,Calendário!$T$97:$V$106,3,FALSE),"--")))))</f>
        <v>42758</v>
      </c>
      <c r="AC42" t="str">
        <f>IF(NOT(ISERROR(VLOOKUP($U42,Calendário!$X$97:$Z$106,3,FALSE))),VLOOKUP($U42,Calendário!$X$97:$Z$106,3,FALSE),"--")</f>
        <v>--</v>
      </c>
      <c r="AD42" s="209" t="str">
        <f>IF(NOT(ISERROR(VLOOKUP($U42,Calendário!$D$7:$F$56,2,FALSE))),VLOOKUP($U42,Calendário!$D$7:$F$56,2,FALSE),IF(NOT(ISERROR(VLOOKUP($U42,Calendário!$H$7:$J$56,2,FALSE))),VLOOKUP($U42,Calendário!$H$7:$J$56,2,FALSE),IF(NOT(ISERROR(VLOOKUP($U42,Calendário!$L$7:$N$56,2,FALSE))),VLOOKUP($U42,Calendário!$L$7:$N$56,2,FALSE),IF(NOT(ISERROR(VLOOKUP($U42,Calendário!$P$7:$R$56,2,FALSE))),VLOOKUP($U42,Calendário!$P$7:$R$56,2,FALSE),IF(NOT(ISERROR(VLOOKUP($U42,Calendário!$T$7:$V$56,2,FALSE))),VLOOKUP($U42,Calendário!$T$7:$V$56,2,FALSE),"--")))))</f>
        <v>--</v>
      </c>
      <c r="AE42" t="str">
        <f>IF(NOT(ISERROR(VLOOKUP($U42,Calendário!$X$7:$Z$51,2,FALSE))),VLOOKUP($U42,Calendário!$X$7:$Z$51,2,FALSE),"--")</f>
        <v>--</v>
      </c>
      <c r="AF42" t="str">
        <f>IF(NOT(ISERROR(VLOOKUP($U42,Calendário!$D$57:$F$76,2,FALSE))),VLOOKUP($U42,Calendário!$D$57:$F$76,2,FALSE),IF(NOT(ISERROR(VLOOKUP($U42,Calendário!$H$57:$J$76,2,FALSE))),VLOOKUP($U42,Calendário!$H$57:$J$76,2,FALSE),IF(NOT(ISERROR(VLOOKUP($U42,Calendário!$L$57:$N$76,2,FALSE))),VLOOKUP($U42,Calendário!$L$57:$N$76,2,FALSE),IF(NOT(ISERROR(VLOOKUP($U42,Calendário!$P$57:$R$76,2,FALSE))),VLOOKUP($U42,Calendário!$P$57:$R$76,2,FALSE),IF(NOT(ISERROR(VLOOKUP($U42,Calendário!$T$57:$V$76,2,FALSE))),VLOOKUP($U42,Calendário!$T$57:$V$76,2,FALSE),"--")))))</f>
        <v>14h30</v>
      </c>
      <c r="AG42" t="str">
        <f>IF(NOT(ISERROR(VLOOKUP($U42,Calendário!$X$57:$Z$76,2,FALSE))),VLOOKUP($U42,Calendário!$X$57:$Z$76,2,FALSE),"--")</f>
        <v>--</v>
      </c>
      <c r="AH42" t="str">
        <f>IF(NOT(ISERROR(VLOOKUP($U42,Calendário!$D$87:$F$96,2,FALSE))),VLOOKUP($U42,Calendário!$D$87:$F$96,2,FALSE),IF(NOT(ISERROR(VLOOKUP($U42,Calendário!$H$87:$J$96,2,FALSE))),VLOOKUP($U42,Calendário!$H$87:$J$96,2,FALSE),IF(NOT(ISERROR(VLOOKUP($U42,Calendário!$L$87:$N$96,2,FALSE))),VLOOKUP($U42,Calendário!$L$87:$N$96,2,FALSE),IF(NOT(ISERROR(VLOOKUP($U42,Calendário!$P$87:$R$96,2,FALSE))),VLOOKUP($U42,Calendário!$P$87:$R$96,2,FALSE),IF(NOT(ISERROR(VLOOKUP($U42,Calendário!$T$87:$V$96,2,FALSE))),VLOOKUP($U42,Calendário!$T$87:$V$96,2,FALSE),"--")))))</f>
        <v>10h</v>
      </c>
      <c r="AI42" t="str">
        <f>IF(NOT(ISERROR(VLOOKUP($U42,Calendário!$X$87:$Z$96,2,FALSE))),VLOOKUP($U42,Calendário!$X$87:$Z$96,2,FALSE),"--")</f>
        <v>--</v>
      </c>
      <c r="AJ42" t="str">
        <f>IF(NOT(ISERROR(VLOOKUP($U42,Calendário!$D$97:$F$106,2,FALSE))),VLOOKUP($U42,Calendário!$D$97:$F$106,2,FALSE),IF(NOT(ISERROR(VLOOKUP($U42,Calendário!$H$97:$J$106,2,FALSE))),VLOOKUP($U42,Calendário!$H$97:$J$106,2,FALSE),IF(NOT(ISERROR(VLOOKUP($U42,Calendário!$L$97:$N$106,2,FALSE))),VLOOKUP($U42,Calendário!$L$97:$N$106,2,FALSE),IF(NOT(ISERROR(VLOOKUP($U42,Calendário!$P$97:$R$106,2,FALSE))),VLOOKUP($U42,Calendário!$P$97:$R$106,2,FALSE),IF(NOT(ISERROR(VLOOKUP($U42,Calendário!$T$97:$V$106,2,FALSE))),VLOOKUP($U42,Calendário!$T$97:$V$106,2,FALSE),"--")))))</f>
        <v>10h</v>
      </c>
      <c r="AK42" t="str">
        <f>IF(NOT(ISERROR(VLOOKUP($U42,Calendário!$X$97:$Z$106,2,FALSE))),VLOOKUP($U42,Calendário!$X$97:$Z$106,2,FALSE),"--")</f>
        <v>--</v>
      </c>
    </row>
    <row r="43" spans="2:38" ht="15" x14ac:dyDescent="0.2">
      <c r="B43" s="149" t="s">
        <v>186</v>
      </c>
      <c r="C43" s="148" t="str">
        <f t="shared" ref="C43" si="39">IF(V43&lt;&gt;"--",V43,W43)</f>
        <v>--</v>
      </c>
      <c r="D43" s="39" t="str">
        <f t="shared" ref="D43" si="40">IF(AD43&lt;&gt;"--",AD43,AE43)</f>
        <v>--</v>
      </c>
      <c r="E43" s="225"/>
      <c r="F43" s="239" t="s">
        <v>149</v>
      </c>
      <c r="G43" s="148" t="str">
        <f t="shared" ref="G43" si="41">IF(X43&lt;&gt;"--",X43,Y43)</f>
        <v>--</v>
      </c>
      <c r="H43" s="39" t="str">
        <f t="shared" ref="H43" si="42">IF(AF43&lt;&gt;"--",AF43,AG43)</f>
        <v>--</v>
      </c>
      <c r="I43" s="116"/>
      <c r="J43" s="244" t="s">
        <v>149</v>
      </c>
      <c r="K43" s="148">
        <f t="shared" ref="K43" si="43">IF(Z43&lt;&gt;"--",Z43,AA43)</f>
        <v>42739</v>
      </c>
      <c r="L43" s="39" t="str">
        <f t="shared" ref="L43" si="44">IF(AH43&lt;&gt;"--",AH43,AI43)</f>
        <v>10h</v>
      </c>
      <c r="M43" s="238">
        <v>2.04</v>
      </c>
      <c r="N43" s="116" t="s">
        <v>149</v>
      </c>
      <c r="O43" s="148">
        <f t="shared" ref="O43" si="45">IF(AB43&lt;&gt;"--",AB43,AC43)</f>
        <v>42753</v>
      </c>
      <c r="P43" s="39" t="str">
        <f t="shared" ref="P43" si="46">IF(AJ43&lt;&gt;"--",AJ43,AK43)</f>
        <v>10h</v>
      </c>
      <c r="Q43" s="238">
        <v>2.04</v>
      </c>
      <c r="R43" s="116" t="s">
        <v>149</v>
      </c>
      <c r="S43" s="140"/>
      <c r="U43" s="208" t="s">
        <v>187</v>
      </c>
      <c r="V43" s="209" t="str">
        <f>IF(NOT(ISERROR(VLOOKUP($U43,Calendário!$D$7:$F$56,3,FALSE))),VLOOKUP($U43,Calendário!$D$7:$F$56,3,FALSE),IF(NOT(ISERROR(VLOOKUP($U43,Calendário!$H$7:$J$56,3,FALSE))),VLOOKUP($U43,Calendário!$H$7:$J$56,3,FALSE),IF(NOT(ISERROR(VLOOKUP($U43,Calendário!$L$7:$N$56,3,FALSE))),VLOOKUP($U43,Calendário!$L$7:$N$56,3,FALSE),IF(NOT(ISERROR(VLOOKUP($U43,Calendário!$P$7:$R$56,3,FALSE))),VLOOKUP($U43,Calendário!$P$7:$R$56,3,FALSE),IF(NOT(ISERROR(VLOOKUP($U43,Calendário!$T$7:$V$56,3,FALSE))),VLOOKUP($U43,Calendário!$T$7:$V$56,3,FALSE),"--")))))</f>
        <v>--</v>
      </c>
      <c r="W43" t="str">
        <f>IF(NOT(ISERROR(VLOOKUP($U43,Calendário!$X$7:$Z$51,3,FALSE))),VLOOKUP($U43,Calendário!$X$7:$Z$51,3,FALSE),"--")</f>
        <v>--</v>
      </c>
      <c r="X43" s="209" t="str">
        <f>IF(NOT(ISERROR(VLOOKUP($U43,Calendário!$D$57:$F$76,3,FALSE))),VLOOKUP($U43,Calendário!$D$57:$F$76,3,FALSE),IF(NOT(ISERROR(VLOOKUP($U43,Calendário!$H$57:$J$76,3,FALSE))),VLOOKUP($U43,Calendário!$H$57:$J$76,3,FALSE),IF(NOT(ISERROR(VLOOKUP($U43,Calendário!$L$57:$N$76,3,FALSE))),VLOOKUP($U43,Calendário!$L$57:$N$76,3,FALSE),IF(NOT(ISERROR(VLOOKUP($U43,Calendário!$P$57:$R$76,3,FALSE))),VLOOKUP($U43,Calendário!$P$57:$R$76,3,FALSE),IF(NOT(ISERROR(VLOOKUP($U43,Calendário!$T$57:$V$76,3,FALSE))),VLOOKUP($U43,Calendário!$T$57:$V$76,3,FALSE),"--")))))</f>
        <v>--</v>
      </c>
      <c r="Y43" t="str">
        <f>IF(NOT(ISERROR(VLOOKUP($U43,Calendário!$X$57:$Z$76,3,FALSE))),VLOOKUP($U43,Calendário!$X$57:$Z$76,3,FALSE),"--")</f>
        <v>--</v>
      </c>
      <c r="Z43" s="209">
        <f>IF(NOT(ISERROR(VLOOKUP($U43,Calendário!$D$87:$F$96,3,FALSE))),VLOOKUP($U43,Calendário!$D$87:$F$96,3,FALSE),IF(NOT(ISERROR(VLOOKUP($U43,Calendário!$H$87:$J$96,3,FALSE))),VLOOKUP($U43,Calendário!$H$87:$J$96,3,FALSE),IF(NOT(ISERROR(VLOOKUP($U43,Calendário!$L$87:$N$96,3,FALSE))),VLOOKUP($U43,Calendário!$L$87:$N$96,3,FALSE),IF(NOT(ISERROR(VLOOKUP($U43,Calendário!$P$87:$R$96,3,FALSE))),VLOOKUP($U43,Calendário!$P$87:$R$96,3,FALSE),IF(NOT(ISERROR(VLOOKUP($U43,Calendário!$T$87:$V$96,3,FALSE))),VLOOKUP($U43,Calendário!$T$87:$V$96,3,FALSE),"--")))))</f>
        <v>42739</v>
      </c>
      <c r="AA43" t="str">
        <f>IF(NOT(ISERROR(VLOOKUP($U43,Calendário!$X$87:$Z$96,3,FALSE))),VLOOKUP($U43,Calendário!$X$87:$Z$96,3,FALSE),"--")</f>
        <v>--</v>
      </c>
      <c r="AB43">
        <f>IF(NOT(ISERROR(VLOOKUP($U43,Calendário!$D$97:$F$106,3,FALSE))),VLOOKUP($U43,Calendário!$D$97:$F$106,3,FALSE),IF(NOT(ISERROR(VLOOKUP($U43,Calendário!$H$97:$J$106,3,FALSE))),VLOOKUP($U43,Calendário!$H$97:$J$106,3,FALSE),IF(NOT(ISERROR(VLOOKUP($U43,Calendário!$L$97:$N$106,3,FALSE))),VLOOKUP($U43,Calendário!$L$97:$N$106,3,FALSE),IF(NOT(ISERROR(VLOOKUP($U43,Calendário!$P$97:$R$106,3,FALSE))),VLOOKUP($U43,Calendário!$P$97:$R$106,3,FALSE),IF(NOT(ISERROR(VLOOKUP($U43,Calendário!$T$97:$V$106,3,FALSE))),VLOOKUP($U43,Calendário!$T$97:$V$106,3,FALSE),"--")))))</f>
        <v>42753</v>
      </c>
      <c r="AC43" t="str">
        <f>IF(NOT(ISERROR(VLOOKUP($U43,Calendário!$X$97:$Z$106,3,FALSE))),VLOOKUP($U43,Calendário!$X$97:$Z$106,3,FALSE),"--")</f>
        <v>--</v>
      </c>
      <c r="AD43" s="209" t="str">
        <f>IF(NOT(ISERROR(VLOOKUP($U43,Calendário!$D$7:$F$56,2,FALSE))),VLOOKUP($U43,Calendário!$D$7:$F$56,2,FALSE),IF(NOT(ISERROR(VLOOKUP($U43,Calendário!$H$7:$J$56,2,FALSE))),VLOOKUP($U43,Calendário!$H$7:$J$56,2,FALSE),IF(NOT(ISERROR(VLOOKUP($U43,Calendário!$L$7:$N$56,2,FALSE))),VLOOKUP($U43,Calendário!$L$7:$N$56,2,FALSE),IF(NOT(ISERROR(VLOOKUP($U43,Calendário!$P$7:$R$56,2,FALSE))),VLOOKUP($U43,Calendário!$P$7:$R$56,2,FALSE),IF(NOT(ISERROR(VLOOKUP($U43,Calendário!$T$7:$V$56,2,FALSE))),VLOOKUP($U43,Calendário!$T$7:$V$56,2,FALSE),"--")))))</f>
        <v>--</v>
      </c>
      <c r="AE43" t="str">
        <f>IF(NOT(ISERROR(VLOOKUP($U43,Calendário!$X$7:$Z$51,2,FALSE))),VLOOKUP($U43,Calendário!$X$7:$Z$51,2,FALSE),"--")</f>
        <v>--</v>
      </c>
      <c r="AF43" t="str">
        <f>IF(NOT(ISERROR(VLOOKUP($U43,Calendário!$D$57:$F$76,2,FALSE))),VLOOKUP($U43,Calendário!$D$57:$F$76,2,FALSE),IF(NOT(ISERROR(VLOOKUP($U43,Calendário!$H$57:$J$76,2,FALSE))),VLOOKUP($U43,Calendário!$H$57:$J$76,2,FALSE),IF(NOT(ISERROR(VLOOKUP($U43,Calendário!$L$57:$N$76,2,FALSE))),VLOOKUP($U43,Calendário!$L$57:$N$76,2,FALSE),IF(NOT(ISERROR(VLOOKUP($U43,Calendário!$P$57:$R$76,2,FALSE))),VLOOKUP($U43,Calendário!$P$57:$R$76,2,FALSE),IF(NOT(ISERROR(VLOOKUP($U43,Calendário!$T$57:$V$76,2,FALSE))),VLOOKUP($U43,Calendário!$T$57:$V$76,2,FALSE),"--")))))</f>
        <v>--</v>
      </c>
      <c r="AG43" t="str">
        <f>IF(NOT(ISERROR(VLOOKUP($U43,Calendário!$X$57:$Z$76,2,FALSE))),VLOOKUP($U43,Calendário!$X$57:$Z$76,2,FALSE),"--")</f>
        <v>--</v>
      </c>
      <c r="AH43" t="str">
        <f>IF(NOT(ISERROR(VLOOKUP($U43,Calendário!$D$87:$F$96,2,FALSE))),VLOOKUP($U43,Calendário!$D$87:$F$96,2,FALSE),IF(NOT(ISERROR(VLOOKUP($U43,Calendário!$H$87:$J$96,2,FALSE))),VLOOKUP($U43,Calendário!$H$87:$J$96,2,FALSE),IF(NOT(ISERROR(VLOOKUP($U43,Calendário!$L$87:$N$96,2,FALSE))),VLOOKUP($U43,Calendário!$L$87:$N$96,2,FALSE),IF(NOT(ISERROR(VLOOKUP($U43,Calendário!$P$87:$R$96,2,FALSE))),VLOOKUP($U43,Calendário!$P$87:$R$96,2,FALSE),IF(NOT(ISERROR(VLOOKUP($U43,Calendário!$T$87:$V$96,2,FALSE))),VLOOKUP($U43,Calendário!$T$87:$V$96,2,FALSE),"--")))))</f>
        <v>10h</v>
      </c>
      <c r="AI43" t="str">
        <f>IF(NOT(ISERROR(VLOOKUP($U43,Calendário!$X$87:$Z$96,2,FALSE))),VLOOKUP($U43,Calendário!$X$87:$Z$96,2,FALSE),"--")</f>
        <v>--</v>
      </c>
      <c r="AJ43" t="str">
        <f>IF(NOT(ISERROR(VLOOKUP($U43,Calendário!$D$97:$F$106,2,FALSE))),VLOOKUP($U43,Calendário!$D$97:$F$106,2,FALSE),IF(NOT(ISERROR(VLOOKUP($U43,Calendário!$H$97:$J$106,2,FALSE))),VLOOKUP($U43,Calendário!$H$97:$J$106,2,FALSE),IF(NOT(ISERROR(VLOOKUP($U43,Calendário!$L$97:$N$106,2,FALSE))),VLOOKUP($U43,Calendário!$L$97:$N$106,2,FALSE),IF(NOT(ISERROR(VLOOKUP($U43,Calendário!$P$97:$R$106,2,FALSE))),VLOOKUP($U43,Calendário!$P$97:$R$106,2,FALSE),IF(NOT(ISERROR(VLOOKUP($U43,Calendário!$T$97:$V$106,2,FALSE))),VLOOKUP($U43,Calendário!$T$97:$V$106,2,FALSE),"--")))))</f>
        <v>10h</v>
      </c>
      <c r="AK43" t="str">
        <f>IF(NOT(ISERROR(VLOOKUP($U43,Calendário!$X$97:$Z$106,2,FALSE))),VLOOKUP($U43,Calendário!$X$97:$Z$106,2,FALSE),"--")</f>
        <v>--</v>
      </c>
    </row>
    <row r="44" spans="2:38" ht="15" x14ac:dyDescent="0.2">
      <c r="V44" s="209" t="str">
        <f>IF(NOT(ISERROR(VLOOKUP($U44,Calendário!$D$7:$F$56,3,FALSE))),VLOOKUP($U44,Calendário!$D$7:$F$56,3,FALSE),IF(NOT(ISERROR(VLOOKUP($U44,Calendário!$H$7:$J$56,3,FALSE))),VLOOKUP($U44,Calendário!$H$7:$J$56,3,FALSE),IF(NOT(ISERROR(VLOOKUP($U44,Calendário!$L$7:$N$56,3,FALSE))),VLOOKUP($U44,Calendário!$L$7:$N$56,3,FALSE),IF(NOT(ISERROR(VLOOKUP($U44,Calendário!$P$7:$R$56,3,FALSE))),VLOOKUP($U44,Calendário!$P$7:$R$56,3,FALSE),IF(NOT(ISERROR(VLOOKUP($U44,Calendário!$T$7:$V$56,3,FALSE))),VLOOKUP($U44,Calendário!$T$7:$V$56,3,FALSE),"--")))))</f>
        <v>--</v>
      </c>
      <c r="W44" t="str">
        <f>IF(NOT(ISERROR(VLOOKUP($U44,Calendário!$X$7:$Z$51,3,FALSE))),VLOOKUP($U44,Calendário!$X$7:$Z$51,3,FALSE),"--")</f>
        <v>--</v>
      </c>
      <c r="X44" s="209" t="str">
        <f>IF(NOT(ISERROR(VLOOKUP($U44,Calendário!$D$57:$F$76,3,FALSE))),VLOOKUP($U44,Calendário!$D$57:$F$76,3,FALSE),IF(NOT(ISERROR(VLOOKUP($U44,Calendário!$H$57:$J$76,3,FALSE))),VLOOKUP($U44,Calendário!$H$57:$J$76,3,FALSE),IF(NOT(ISERROR(VLOOKUP($U44,Calendário!$L$57:$N$76,3,FALSE))),VLOOKUP($U44,Calendário!$L$57:$N$76,3,FALSE),IF(NOT(ISERROR(VLOOKUP($U44,Calendário!$P$57:$R$76,3,FALSE))),VLOOKUP($U44,Calendário!$P$57:$R$76,3,FALSE),IF(NOT(ISERROR(VLOOKUP($U44,Calendário!$T$57:$V$76,3,FALSE))),VLOOKUP($U44,Calendário!$T$57:$V$76,3,FALSE),"--")))))</f>
        <v>--</v>
      </c>
      <c r="Y44" t="str">
        <f>IF(NOT(ISERROR(VLOOKUP($U44,Calendário!$X$57:$Z$76,3,FALSE))),VLOOKUP($U44,Calendário!$X$57:$Z$76,3,FALSE),"--")</f>
        <v>--</v>
      </c>
      <c r="Z44" s="209" t="str">
        <f>IF(NOT(ISERROR(VLOOKUP($U44,Calendário!$D$87:$F$96,3,FALSE))),VLOOKUP($U44,Calendário!$D$87:$F$96,3,FALSE),IF(NOT(ISERROR(VLOOKUP($U44,Calendário!$H$87:$J$96,3,FALSE))),VLOOKUP($U44,Calendário!$H$87:$J$96,3,FALSE),IF(NOT(ISERROR(VLOOKUP($U44,Calendário!$L$87:$N$96,3,FALSE))),VLOOKUP($U44,Calendário!$L$87:$N$96,3,FALSE),IF(NOT(ISERROR(VLOOKUP($U44,Calendário!$P$87:$R$96,3,FALSE))),VLOOKUP($U44,Calendário!$P$87:$R$96,3,FALSE),IF(NOT(ISERROR(VLOOKUP($U44,Calendário!$T$87:$V$96,3,FALSE))),VLOOKUP($U44,Calendário!$T$87:$V$96,3,FALSE),"--")))))</f>
        <v>--</v>
      </c>
      <c r="AA44" t="str">
        <f>IF(NOT(ISERROR(VLOOKUP($U44,Calendário!$X$87:$Z$96,3,FALSE))),VLOOKUP($U44,Calendário!$X$87:$Z$96,3,FALSE),"--")</f>
        <v>--</v>
      </c>
      <c r="AB44" t="str">
        <f>IF(NOT(ISERROR(VLOOKUP($U44,Calendário!$D$97:$F$106,3,FALSE))),VLOOKUP($U44,Calendário!$D$97:$F$106,3,FALSE),IF(NOT(ISERROR(VLOOKUP($U44,Calendário!$H$97:$J$106,3,FALSE))),VLOOKUP($U44,Calendário!$H$97:$J$106,3,FALSE),IF(NOT(ISERROR(VLOOKUP($U44,Calendário!$L$97:$N$106,3,FALSE))),VLOOKUP($U44,Calendário!$L$97:$N$106,3,FALSE),IF(NOT(ISERROR(VLOOKUP($U44,Calendário!$P$97:$R$106,3,FALSE))),VLOOKUP($U44,Calendário!$P$97:$R$106,3,FALSE),IF(NOT(ISERROR(VLOOKUP($U44,Calendário!$T$97:$V$106,3,FALSE))),VLOOKUP($U44,Calendário!$T$97:$V$106,3,FALSE),"--")))))</f>
        <v>--</v>
      </c>
      <c r="AC44" t="str">
        <f>IF(NOT(ISERROR(VLOOKUP($U44,Calendário!$X$97:$Z$106,3,FALSE))),VLOOKUP($U44,Calendário!$X$97:$Z$106,3,FALSE),"--")</f>
        <v>--</v>
      </c>
      <c r="AD44" s="209" t="str">
        <f>IF(NOT(ISERROR(VLOOKUP($U44,Calendário!$D$7:$F$56,2,FALSE))),VLOOKUP($U44,Calendário!$D$7:$F$56,2,FALSE),IF(NOT(ISERROR(VLOOKUP($U44,Calendário!$H$7:$J$56,2,FALSE))),VLOOKUP($U44,Calendário!$H$7:$J$56,2,FALSE),IF(NOT(ISERROR(VLOOKUP($U44,Calendário!$L$7:$N$56,2,FALSE))),VLOOKUP($U44,Calendário!$L$7:$N$56,2,FALSE),IF(NOT(ISERROR(VLOOKUP($U44,Calendário!$P$7:$R$56,2,FALSE))),VLOOKUP($U44,Calendário!$P$7:$R$56,2,FALSE),IF(NOT(ISERROR(VLOOKUP($U44,Calendário!$T$7:$V$56,2,FALSE))),VLOOKUP($U44,Calendário!$T$7:$V$56,2,FALSE),"--")))))</f>
        <v>--</v>
      </c>
      <c r="AE44" t="str">
        <f>IF(NOT(ISERROR(VLOOKUP($U44,Calendário!$X$7:$Z$51,2,FALSE))),VLOOKUP($U44,Calendário!$X$7:$Z$51,2,FALSE),"--")</f>
        <v>--</v>
      </c>
      <c r="AF44" t="str">
        <f>IF(NOT(ISERROR(VLOOKUP($U44,Calendário!$D$57:$F$76,2,FALSE))),VLOOKUP($U44,Calendário!$D$57:$F$76,2,FALSE),IF(NOT(ISERROR(VLOOKUP($U44,Calendário!$H$57:$J$76,2,FALSE))),VLOOKUP($U44,Calendário!$H$57:$J$76,2,FALSE),IF(NOT(ISERROR(VLOOKUP($U44,Calendário!$L$57:$N$76,2,FALSE))),VLOOKUP($U44,Calendário!$L$57:$N$76,2,FALSE),IF(NOT(ISERROR(VLOOKUP($U44,Calendário!$P$57:$R$76,2,FALSE))),VLOOKUP($U44,Calendário!$P$57:$R$76,2,FALSE),IF(NOT(ISERROR(VLOOKUP($U44,Calendário!$T$57:$V$76,2,FALSE))),VLOOKUP($U44,Calendário!$T$57:$V$76,2,FALSE),"--")))))</f>
        <v>--</v>
      </c>
      <c r="AG44" t="str">
        <f>IF(NOT(ISERROR(VLOOKUP($U44,Calendário!$X$57:$Z$76,2,FALSE))),VLOOKUP($U44,Calendário!$X$57:$Z$76,2,FALSE),"--")</f>
        <v>--</v>
      </c>
      <c r="AH44" t="str">
        <f>IF(NOT(ISERROR(VLOOKUP($U44,Calendário!$D$87:$F$96,2,FALSE))),VLOOKUP($U44,Calendário!$D$87:$F$96,2,FALSE),IF(NOT(ISERROR(VLOOKUP($U44,Calendário!$H$87:$J$96,2,FALSE))),VLOOKUP($U44,Calendário!$H$87:$J$96,2,FALSE),IF(NOT(ISERROR(VLOOKUP($U44,Calendário!$L$87:$N$96,2,FALSE))),VLOOKUP($U44,Calendário!$L$87:$N$96,2,FALSE),IF(NOT(ISERROR(VLOOKUP($U44,Calendário!$P$87:$R$96,2,FALSE))),VLOOKUP($U44,Calendário!$P$87:$R$96,2,FALSE),IF(NOT(ISERROR(VLOOKUP($U44,Calendário!$T$87:$V$96,2,FALSE))),VLOOKUP($U44,Calendário!$T$87:$V$96,2,FALSE),"--")))))</f>
        <v>--</v>
      </c>
      <c r="AI44" t="str">
        <f>IF(NOT(ISERROR(VLOOKUP($U44,Calendário!$X$87:$Z$96,2,FALSE))),VLOOKUP($U44,Calendário!$X$87:$Z$96,2,FALSE),"--")</f>
        <v>--</v>
      </c>
      <c r="AJ44" t="str">
        <f>IF(NOT(ISERROR(VLOOKUP($U44,Calendário!$D$97:$F$106,2,FALSE))),VLOOKUP($U44,Calendário!$D$97:$F$106,2,FALSE),IF(NOT(ISERROR(VLOOKUP($U44,Calendário!$H$97:$J$106,2,FALSE))),VLOOKUP($U44,Calendário!$H$97:$J$106,2,FALSE),IF(NOT(ISERROR(VLOOKUP($U44,Calendário!$L$97:$N$106,2,FALSE))),VLOOKUP($U44,Calendário!$L$97:$N$106,2,FALSE),IF(NOT(ISERROR(VLOOKUP($U44,Calendário!$P$97:$R$106,2,FALSE))),VLOOKUP($U44,Calendário!$P$97:$R$106,2,FALSE),IF(NOT(ISERROR(VLOOKUP($U44,Calendário!$T$97:$V$106,2,FALSE))),VLOOKUP($U44,Calendário!$T$97:$V$106,2,FALSE),"--")))))</f>
        <v>--</v>
      </c>
      <c r="AK44" t="str">
        <f>IF(NOT(ISERROR(VLOOKUP($U44,Calendário!$X$97:$Z$106,2,FALSE))),VLOOKUP($U44,Calendário!$X$97:$Z$106,2,FALSE),"--")</f>
        <v>--</v>
      </c>
    </row>
    <row r="45" spans="2:38" ht="15" x14ac:dyDescent="0.2">
      <c r="B45" s="67" t="b">
        <v>1</v>
      </c>
      <c r="V45" s="209" t="str">
        <f>IF(NOT(ISERROR(VLOOKUP($U45,Calendário!$D$7:$F$56,3,FALSE))),VLOOKUP($U45,Calendário!$D$7:$F$56,3,FALSE),IF(NOT(ISERROR(VLOOKUP($U45,Calendário!$H$7:$J$56,3,FALSE))),VLOOKUP($U45,Calendário!$H$7:$J$56,3,FALSE),IF(NOT(ISERROR(VLOOKUP($U45,Calendário!$L$7:$N$56,3,FALSE))),VLOOKUP($U45,Calendário!$L$7:$N$56,3,FALSE),IF(NOT(ISERROR(VLOOKUP($U45,Calendário!$P$7:$R$56,3,FALSE))),VLOOKUP($U45,Calendário!$P$7:$R$56,3,FALSE),IF(NOT(ISERROR(VLOOKUP($U45,Calendário!$T$7:$V$56,3,FALSE))),VLOOKUP($U45,Calendário!$T$7:$V$56,3,FALSE),"--")))))</f>
        <v>--</v>
      </c>
      <c r="W45" t="str">
        <f>IF(NOT(ISERROR(VLOOKUP($U45,Calendário!$X$7:$Z$51,3,FALSE))),VLOOKUP($U45,Calendário!$X$7:$Z$51,3,FALSE),"--")</f>
        <v>--</v>
      </c>
      <c r="X45" s="209" t="str">
        <f>IF(NOT(ISERROR(VLOOKUP($U45,Calendário!$D$57:$F$76,3,FALSE))),VLOOKUP($U45,Calendário!$D$57:$F$76,3,FALSE),IF(NOT(ISERROR(VLOOKUP($U45,Calendário!$H$57:$J$76,3,FALSE))),VLOOKUP($U45,Calendário!$H$57:$J$76,3,FALSE),IF(NOT(ISERROR(VLOOKUP($U45,Calendário!$L$57:$N$76,3,FALSE))),VLOOKUP($U45,Calendário!$L$57:$N$76,3,FALSE),IF(NOT(ISERROR(VLOOKUP($U45,Calendário!$P$57:$R$76,3,FALSE))),VLOOKUP($U45,Calendário!$P$57:$R$76,3,FALSE),IF(NOT(ISERROR(VLOOKUP($U45,Calendário!$T$57:$V$76,3,FALSE))),VLOOKUP($U45,Calendário!$T$57:$V$76,3,FALSE),"--")))))</f>
        <v>--</v>
      </c>
      <c r="Y45" t="str">
        <f>IF(NOT(ISERROR(VLOOKUP($U45,Calendário!$X$57:$Z$76,3,FALSE))),VLOOKUP($U45,Calendário!$X$57:$Z$76,3,FALSE),"--")</f>
        <v>--</v>
      </c>
      <c r="Z45" s="209" t="str">
        <f>IF(NOT(ISERROR(VLOOKUP($U45,Calendário!$D$87:$F$96,3,FALSE))),VLOOKUP($U45,Calendário!$D$87:$F$96,3,FALSE),IF(NOT(ISERROR(VLOOKUP($U45,Calendário!$H$87:$J$96,3,FALSE))),VLOOKUP($U45,Calendário!$H$87:$J$96,3,FALSE),IF(NOT(ISERROR(VLOOKUP($U45,Calendário!$L$87:$N$96,3,FALSE))),VLOOKUP($U45,Calendário!$L$87:$N$96,3,FALSE),IF(NOT(ISERROR(VLOOKUP($U45,Calendário!$P$87:$R$96,3,FALSE))),VLOOKUP($U45,Calendário!$P$87:$R$96,3,FALSE),IF(NOT(ISERROR(VLOOKUP($U45,Calendário!$T$87:$V$96,3,FALSE))),VLOOKUP($U45,Calendário!$T$87:$V$96,3,FALSE),"--")))))</f>
        <v>--</v>
      </c>
      <c r="AA45" t="str">
        <f>IF(NOT(ISERROR(VLOOKUP($U45,Calendário!$X$87:$Z$96,3,FALSE))),VLOOKUP($U45,Calendário!$X$87:$Z$96,3,FALSE),"--")</f>
        <v>--</v>
      </c>
      <c r="AB45" t="str">
        <f>IF(NOT(ISERROR(VLOOKUP($U45,Calendário!$D$97:$F$106,3,FALSE))),VLOOKUP($U45,Calendário!$D$97:$F$106,3,FALSE),IF(NOT(ISERROR(VLOOKUP($U45,Calendário!$H$97:$J$106,3,FALSE))),VLOOKUP($U45,Calendário!$H$97:$J$106,3,FALSE),IF(NOT(ISERROR(VLOOKUP($U45,Calendário!$L$97:$N$106,3,FALSE))),VLOOKUP($U45,Calendário!$L$97:$N$106,3,FALSE),IF(NOT(ISERROR(VLOOKUP($U45,Calendário!$P$97:$R$106,3,FALSE))),VLOOKUP($U45,Calendário!$P$97:$R$106,3,FALSE),IF(NOT(ISERROR(VLOOKUP($U45,Calendário!$T$97:$V$106,3,FALSE))),VLOOKUP($U45,Calendário!$T$97:$V$106,3,FALSE),"--")))))</f>
        <v>--</v>
      </c>
      <c r="AC45" t="str">
        <f>IF(NOT(ISERROR(VLOOKUP($U45,Calendário!$X$97:$Z$106,3,FALSE))),VLOOKUP($U45,Calendário!$X$97:$Z$106,3,FALSE),"--")</f>
        <v>--</v>
      </c>
      <c r="AD45" s="209" t="str">
        <f>IF(NOT(ISERROR(VLOOKUP($U45,Calendário!$D$7:$F$56,2,FALSE))),VLOOKUP($U45,Calendário!$D$7:$F$56,2,FALSE),IF(NOT(ISERROR(VLOOKUP($U45,Calendário!$H$7:$J$56,2,FALSE))),VLOOKUP($U45,Calendário!$H$7:$J$56,2,FALSE),IF(NOT(ISERROR(VLOOKUP($U45,Calendário!$L$7:$N$56,2,FALSE))),VLOOKUP($U45,Calendário!$L$7:$N$56,2,FALSE),IF(NOT(ISERROR(VLOOKUP($U45,Calendário!$P$7:$R$56,2,FALSE))),VLOOKUP($U45,Calendário!$P$7:$R$56,2,FALSE),IF(NOT(ISERROR(VLOOKUP($U45,Calendário!$T$7:$V$56,2,FALSE))),VLOOKUP($U45,Calendário!$T$7:$V$56,2,FALSE),"--")))))</f>
        <v>--</v>
      </c>
      <c r="AE45" t="str">
        <f>IF(NOT(ISERROR(VLOOKUP($U45,Calendário!$X$7:$Z$51,2,FALSE))),VLOOKUP($U45,Calendário!$X$7:$Z$51,2,FALSE),"--")</f>
        <v>--</v>
      </c>
      <c r="AF45" t="str">
        <f>IF(NOT(ISERROR(VLOOKUP($U45,Calendário!$D$57:$F$76,2,FALSE))),VLOOKUP($U45,Calendário!$D$57:$F$76,2,FALSE),IF(NOT(ISERROR(VLOOKUP($U45,Calendário!$H$57:$J$76,2,FALSE))),VLOOKUP($U45,Calendário!$H$57:$J$76,2,FALSE),IF(NOT(ISERROR(VLOOKUP($U45,Calendário!$L$57:$N$76,2,FALSE))),VLOOKUP($U45,Calendário!$L$57:$N$76,2,FALSE),IF(NOT(ISERROR(VLOOKUP($U45,Calendário!$P$57:$R$76,2,FALSE))),VLOOKUP($U45,Calendário!$P$57:$R$76,2,FALSE),IF(NOT(ISERROR(VLOOKUP($U45,Calendário!$T$57:$V$76,2,FALSE))),VLOOKUP($U45,Calendário!$T$57:$V$76,2,FALSE),"--")))))</f>
        <v>--</v>
      </c>
      <c r="AG45" t="str">
        <f>IF(NOT(ISERROR(VLOOKUP($U45,Calendário!$X$57:$Z$76,2,FALSE))),VLOOKUP($U45,Calendário!$X$57:$Z$76,2,FALSE),"--")</f>
        <v>--</v>
      </c>
      <c r="AH45" t="str">
        <f>IF(NOT(ISERROR(VLOOKUP($U45,Calendário!$D$87:$F$96,2,FALSE))),VLOOKUP($U45,Calendário!$D$87:$F$96,2,FALSE),IF(NOT(ISERROR(VLOOKUP($U45,Calendário!$H$87:$J$96,2,FALSE))),VLOOKUP($U45,Calendário!$H$87:$J$96,2,FALSE),IF(NOT(ISERROR(VLOOKUP($U45,Calendário!$L$87:$N$96,2,FALSE))),VLOOKUP($U45,Calendário!$L$87:$N$96,2,FALSE),IF(NOT(ISERROR(VLOOKUP($U45,Calendário!$P$87:$R$96,2,FALSE))),VLOOKUP($U45,Calendário!$P$87:$R$96,2,FALSE),IF(NOT(ISERROR(VLOOKUP($U45,Calendário!$T$87:$V$96,2,FALSE))),VLOOKUP($U45,Calendário!$T$87:$V$96,2,FALSE),"--")))))</f>
        <v>--</v>
      </c>
      <c r="AI45" t="str">
        <f>IF(NOT(ISERROR(VLOOKUP($U45,Calendário!$X$87:$Z$96,2,FALSE))),VLOOKUP($U45,Calendário!$X$87:$Z$96,2,FALSE),"--")</f>
        <v>--</v>
      </c>
      <c r="AJ45" t="str">
        <f>IF(NOT(ISERROR(VLOOKUP($U45,Calendário!$D$97:$F$106,2,FALSE))),VLOOKUP($U45,Calendário!$D$97:$F$106,2,FALSE),IF(NOT(ISERROR(VLOOKUP($U45,Calendário!$H$97:$J$106,2,FALSE))),VLOOKUP($U45,Calendário!$H$97:$J$106,2,FALSE),IF(NOT(ISERROR(VLOOKUP($U45,Calendário!$L$97:$N$106,2,FALSE))),VLOOKUP($U45,Calendário!$L$97:$N$106,2,FALSE),IF(NOT(ISERROR(VLOOKUP($U45,Calendário!$P$97:$R$106,2,FALSE))),VLOOKUP($U45,Calendário!$P$97:$R$106,2,FALSE),IF(NOT(ISERROR(VLOOKUP($U45,Calendário!$T$97:$V$106,2,FALSE))),VLOOKUP($U45,Calendário!$T$97:$V$106,2,FALSE),"--")))))</f>
        <v>--</v>
      </c>
      <c r="AK45" t="str">
        <f>IF(NOT(ISERROR(VLOOKUP($U45,Calendário!$X$97:$Z$106,2,FALSE))),VLOOKUP($U45,Calendário!$X$97:$Z$106,2,FALSE),"--")</f>
        <v>--</v>
      </c>
    </row>
    <row r="46" spans="2:38" ht="15" x14ac:dyDescent="0.2">
      <c r="B46" s="67" t="b">
        <v>1</v>
      </c>
      <c r="D46" s="91"/>
      <c r="U46" t="s">
        <v>66</v>
      </c>
      <c r="V46" s="209">
        <f>IF(NOT(ISERROR(VLOOKUP($U46,Calendário!$D$7:$F$56,3,FALSE))),VLOOKUP($U46,Calendário!$D$7:$F$56,3,FALSE),IF(NOT(ISERROR(VLOOKUP($U46,Calendário!$H$7:$J$56,3,FALSE))),VLOOKUP($U46,Calendário!$H$7:$J$56,3,FALSE),IF(NOT(ISERROR(VLOOKUP($U46,Calendário!$L$7:$N$56,3,FALSE))),VLOOKUP($U46,Calendário!$L$7:$N$56,3,FALSE),IF(NOT(ISERROR(VLOOKUP($U46,Calendário!$P$7:$R$56,3,FALSE))),VLOOKUP($U46,Calendário!$P$7:$R$56,3,FALSE),IF(NOT(ISERROR(VLOOKUP($U46,Calendário!$T$7:$V$56,3,FALSE))),VLOOKUP($U46,Calendário!$T$7:$V$56,3,FALSE),"--")))))</f>
        <v>42669</v>
      </c>
      <c r="W46" t="str">
        <f>IF(NOT(ISERROR(VLOOKUP($U46,Calendário!$X$7:$Z$51,3,FALSE))),VLOOKUP($U46,Calendário!$X$7:$Z$51,3,FALSE),"--")</f>
        <v>--</v>
      </c>
      <c r="X46" s="209">
        <f>IF(NOT(ISERROR(VLOOKUP($U46,Calendário!$D$57:$F$76,3,FALSE))),VLOOKUP($U46,Calendário!$D$57:$F$76,3,FALSE),IF(NOT(ISERROR(VLOOKUP($U46,Calendário!$H$57:$J$76,3,FALSE))),VLOOKUP($U46,Calendário!$H$57:$J$76,3,FALSE),IF(NOT(ISERROR(VLOOKUP($U46,Calendário!$L$57:$N$76,3,FALSE))),VLOOKUP($U46,Calendário!$L$57:$N$76,3,FALSE),IF(NOT(ISERROR(VLOOKUP($U46,Calendário!$P$57:$R$76,3,FALSE))),VLOOKUP($U46,Calendário!$P$57:$R$76,3,FALSE),IF(NOT(ISERROR(VLOOKUP($U46,Calendário!$T$57:$V$76,3,FALSE))),VLOOKUP($U46,Calendário!$T$57:$V$76,3,FALSE),"--")))))</f>
        <v>42718</v>
      </c>
      <c r="Y46" t="str">
        <f>IF(NOT(ISERROR(VLOOKUP($U46,Calendário!$X$57:$Z$76,3,FALSE))),VLOOKUP($U46,Calendário!$X$57:$Z$76,3,FALSE),"--")</f>
        <v>--</v>
      </c>
      <c r="Z46" s="209">
        <f>IF(NOT(ISERROR(VLOOKUP($U46,Calendário!$D$87:$F$96,3,FALSE))),VLOOKUP($U46,Calendário!$D$87:$F$96,3,FALSE),IF(NOT(ISERROR(VLOOKUP($U46,Calendário!$H$87:$J$96,3,FALSE))),VLOOKUP($U46,Calendário!$H$87:$J$96,3,FALSE),IF(NOT(ISERROR(VLOOKUP($U46,Calendário!$L$87:$N$96,3,FALSE))),VLOOKUP($U46,Calendário!$L$87:$N$96,3,FALSE),IF(NOT(ISERROR(VLOOKUP($U46,Calendário!$P$87:$R$96,3,FALSE))),VLOOKUP($U46,Calendário!$P$87:$R$96,3,FALSE),IF(NOT(ISERROR(VLOOKUP($U46,Calendário!$T$87:$V$96,3,FALSE))),VLOOKUP($U46,Calendário!$T$87:$V$96,3,FALSE),"--")))))</f>
        <v>42741</v>
      </c>
      <c r="AA46" t="str">
        <f>IF(NOT(ISERROR(VLOOKUP($U46,Calendário!$X$87:$Z$96,3,FALSE))),VLOOKUP($U46,Calendário!$X$87:$Z$96,3,FALSE),"--")</f>
        <v>--</v>
      </c>
      <c r="AB46">
        <f>IF(NOT(ISERROR(VLOOKUP($U46,Calendário!$D$97:$F$106,3,FALSE))),VLOOKUP($U46,Calendário!$D$97:$F$106,3,FALSE),IF(NOT(ISERROR(VLOOKUP($U46,Calendário!$H$97:$J$106,3,FALSE))),VLOOKUP($U46,Calendário!$H$97:$J$106,3,FALSE),IF(NOT(ISERROR(VLOOKUP($U46,Calendário!$L$97:$N$106,3,FALSE))),VLOOKUP($U46,Calendário!$L$97:$N$106,3,FALSE),IF(NOT(ISERROR(VLOOKUP($U46,Calendário!$P$97:$R$106,3,FALSE))),VLOOKUP($U46,Calendário!$P$97:$R$106,3,FALSE),IF(NOT(ISERROR(VLOOKUP($U46,Calendário!$T$97:$V$106,3,FALSE))),VLOOKUP($U46,Calendário!$T$97:$V$106,3,FALSE),"--")))))</f>
        <v>42755</v>
      </c>
      <c r="AC46" t="str">
        <f>IF(NOT(ISERROR(VLOOKUP($U46,Calendário!$X$97:$Z$106,3,FALSE))),VLOOKUP($U46,Calendário!$X$97:$Z$106,3,FALSE),"--")</f>
        <v>--</v>
      </c>
      <c r="AD46" s="209" t="str">
        <f>IF(NOT(ISERROR(VLOOKUP($U46,Calendário!$D$7:$F$56,2,FALSE))),VLOOKUP($U46,Calendário!$D$7:$F$56,2,FALSE),IF(NOT(ISERROR(VLOOKUP($U46,Calendário!$H$7:$J$56,2,FALSE))),VLOOKUP($U46,Calendário!$H$7:$J$56,2,FALSE),IF(NOT(ISERROR(VLOOKUP($U46,Calendário!$L$7:$N$56,2,FALSE))),VLOOKUP($U46,Calendário!$L$7:$N$56,2,FALSE),IF(NOT(ISERROR(VLOOKUP($U46,Calendário!$P$7:$R$56,2,FALSE))),VLOOKUP($U46,Calendário!$P$7:$R$56,2,FALSE),IF(NOT(ISERROR(VLOOKUP($U46,Calendário!$T$7:$V$56,2,FALSE))),VLOOKUP($U46,Calendário!$T$7:$V$56,2,FALSE),"--")))))</f>
        <v>11h</v>
      </c>
      <c r="AE46" t="str">
        <f>IF(NOT(ISERROR(VLOOKUP($U46,Calendário!$X$7:$Z$51,2,FALSE))),VLOOKUP($U46,Calendário!$X$7:$Z$51,2,FALSE),"--")</f>
        <v>--</v>
      </c>
      <c r="AF46" t="str">
        <f>IF(NOT(ISERROR(VLOOKUP($U46,Calendário!$D$57:$F$76,2,FALSE))),VLOOKUP($U46,Calendário!$D$57:$F$76,2,FALSE),IF(NOT(ISERROR(VLOOKUP($U46,Calendário!$H$57:$J$76,2,FALSE))),VLOOKUP($U46,Calendário!$H$57:$J$76,2,FALSE),IF(NOT(ISERROR(VLOOKUP($U46,Calendário!$L$57:$N$76,2,FALSE))),VLOOKUP($U46,Calendário!$L$57:$N$76,2,FALSE),IF(NOT(ISERROR(VLOOKUP($U46,Calendário!$P$57:$R$76,2,FALSE))),VLOOKUP($U46,Calendário!$P$57:$R$76,2,FALSE),IF(NOT(ISERROR(VLOOKUP($U46,Calendário!$T$57:$V$76,2,FALSE))),VLOOKUP($U46,Calendário!$T$57:$V$76,2,FALSE),"--")))))</f>
        <v>11h</v>
      </c>
      <c r="AG46" t="str">
        <f>IF(NOT(ISERROR(VLOOKUP($U46,Calendário!$X$57:$Z$76,2,FALSE))),VLOOKUP($U46,Calendário!$X$57:$Z$76,2,FALSE),"--")</f>
        <v>--</v>
      </c>
      <c r="AH46" t="str">
        <f>IF(NOT(ISERROR(VLOOKUP($U46,Calendário!$D$87:$F$96,2,FALSE))),VLOOKUP($U46,Calendário!$D$87:$F$96,2,FALSE),IF(NOT(ISERROR(VLOOKUP($U46,Calendário!$H$87:$J$96,2,FALSE))),VLOOKUP($U46,Calendário!$H$87:$J$96,2,FALSE),IF(NOT(ISERROR(VLOOKUP($U46,Calendário!$L$87:$N$96,2,FALSE))),VLOOKUP($U46,Calendário!$L$87:$N$96,2,FALSE),IF(NOT(ISERROR(VLOOKUP($U46,Calendário!$P$87:$R$96,2,FALSE))),VLOOKUP($U46,Calendário!$P$87:$R$96,2,FALSE),IF(NOT(ISERROR(VLOOKUP($U46,Calendário!$T$87:$V$96,2,FALSE))),VLOOKUP($U46,Calendário!$T$87:$V$96,2,FALSE),"--")))))</f>
        <v>10h</v>
      </c>
      <c r="AI46" t="str">
        <f>IF(NOT(ISERROR(VLOOKUP($U46,Calendário!$X$87:$Z$96,2,FALSE))),VLOOKUP($U46,Calendário!$X$87:$Z$96,2,FALSE),"--")</f>
        <v>--</v>
      </c>
      <c r="AJ46" t="str">
        <f>IF(NOT(ISERROR(VLOOKUP($U46,Calendário!$D$97:$F$106,2,FALSE))),VLOOKUP($U46,Calendário!$D$97:$F$106,2,FALSE),IF(NOT(ISERROR(VLOOKUP($U46,Calendário!$H$97:$J$106,2,FALSE))),VLOOKUP($U46,Calendário!$H$97:$J$106,2,FALSE),IF(NOT(ISERROR(VLOOKUP($U46,Calendário!$L$97:$N$106,2,FALSE))),VLOOKUP($U46,Calendário!$L$97:$N$106,2,FALSE),IF(NOT(ISERROR(VLOOKUP($U46,Calendário!$P$97:$R$106,2,FALSE))),VLOOKUP($U46,Calendário!$P$97:$R$106,2,FALSE),IF(NOT(ISERROR(VLOOKUP($U46,Calendário!$T$97:$V$106,2,FALSE))),VLOOKUP($U46,Calendário!$T$97:$V$106,2,FALSE),"--")))))</f>
        <v>10h</v>
      </c>
      <c r="AK46" t="str">
        <f>IF(NOT(ISERROR(VLOOKUP($U46,Calendário!$X$97:$Z$106,2,FALSE))),VLOOKUP($U46,Calendário!$X$97:$Z$106,2,FALSE),"--")</f>
        <v>--</v>
      </c>
      <c r="AL46" s="57" t="s">
        <v>90</v>
      </c>
    </row>
    <row r="47" spans="2:38" ht="15" x14ac:dyDescent="0.2">
      <c r="B47" s="67"/>
      <c r="U47" t="s">
        <v>66</v>
      </c>
      <c r="V47" s="209">
        <f>IF(NOT(ISERROR(VLOOKUP($U47,Calendário!$D$47:$F$56,3,FALSE))),VLOOKUP($U47,Calendário!$D$47:$F$56,3,FALSE),IF(NOT(ISERROR(VLOOKUP($U47,Calendário!$H$47:$J$56,3,FALSE))),VLOOKUP($U47,Calendário!$H$47:$J$56,3,FALSE),IF(NOT(ISERROR(VLOOKUP($U47,Calendário!$L$47:$N$56,3,FALSE))),VLOOKUP($U47,Calendário!$L$47:$N$56,3,FALSE),IF(NOT(ISERROR(VLOOKUP($U47,Calendário!$P$47:$R$56,3,FALSE))),VLOOKUP($U47,Calendário!$P$47:$R$56,3,FALSE),IF(NOT(ISERROR(VLOOKUP($U47,Calendário!$T$47:$V$56,3,FALSE))),VLOOKUP($U47,Calendário!$T$47:$V$56,3,FALSE),"--")))))</f>
        <v>42690</v>
      </c>
      <c r="W47" t="str">
        <f>IF(NOT(ISERROR(VLOOKUP($U47,Calendário!$X$47:$Z$51,3,FALSE))),VLOOKUP($U47,Calendário!$X$47:$Z$51,3,FALSE),"--")</f>
        <v>--</v>
      </c>
      <c r="X47" s="209">
        <f>IF(NOT(ISERROR(VLOOKUP($U47,Calendário!$D$57:$F$76,3,FALSE))),VLOOKUP($U47,Calendário!$D$57:$F$76,3,FALSE),IF(NOT(ISERROR(VLOOKUP($U47,Calendário!$H$57:$J$76,3,FALSE))),VLOOKUP($U47,Calendário!$H$57:$J$76,3,FALSE),IF(NOT(ISERROR(VLOOKUP($U47,Calendário!$L$57:$N$76,3,FALSE))),VLOOKUP($U47,Calendário!$L$57:$N$76,3,FALSE),IF(NOT(ISERROR(VLOOKUP($U47,Calendário!$P$57:$R$76,3,FALSE))),VLOOKUP($U47,Calendário!$P$57:$R$76,3,FALSE),IF(NOT(ISERROR(VLOOKUP($U47,Calendário!$T$57:$V$76,3,FALSE))),VLOOKUP($U47,Calendário!$T$57:$V$76,3,FALSE),"--")))))</f>
        <v>42718</v>
      </c>
      <c r="Y47" t="str">
        <f>IF(NOT(ISERROR(VLOOKUP($U47,Calendário!$X$57:$Z$76,3,FALSE))),VLOOKUP($U47,Calendário!$X$57:$Z$76,3,FALSE),"--")</f>
        <v>--</v>
      </c>
      <c r="Z47" s="209">
        <f>IF(NOT(ISERROR(VLOOKUP($U47,Calendário!$D$87:$F$96,3,FALSE))),VLOOKUP($U47,Calendário!$D$87:$F$96,3,FALSE),IF(NOT(ISERROR(VLOOKUP($U47,Calendário!$H$87:$J$96,3,FALSE))),VLOOKUP($U47,Calendário!$H$87:$J$96,3,FALSE),IF(NOT(ISERROR(VLOOKUP($U47,Calendário!$L$87:$N$96,3,FALSE))),VLOOKUP($U47,Calendário!$L$87:$N$96,3,FALSE),IF(NOT(ISERROR(VLOOKUP($U47,Calendário!$P$87:$R$96,3,FALSE))),VLOOKUP($U47,Calendário!$P$87:$R$96,3,FALSE),IF(NOT(ISERROR(VLOOKUP($U47,Calendário!$T$87:$V$96,3,FALSE))),VLOOKUP($U47,Calendário!$T$87:$V$96,3,FALSE),"--")))))</f>
        <v>42741</v>
      </c>
      <c r="AA47" t="str">
        <f>IF(NOT(ISERROR(VLOOKUP($U47,Calendário!$X$87:$Z$96,3,FALSE))),VLOOKUP($U47,Calendário!$X$87:$Z$96,3,FALSE),"--")</f>
        <v>--</v>
      </c>
      <c r="AB47">
        <f>IF(NOT(ISERROR(VLOOKUP($U47,Calendário!$D$97:$F$106,3,FALSE))),VLOOKUP($U47,Calendário!$D$97:$F$106,3,FALSE),IF(NOT(ISERROR(VLOOKUP($U47,Calendário!$H$97:$J$106,3,FALSE))),VLOOKUP($U47,Calendário!$H$97:$J$106,3,FALSE),IF(NOT(ISERROR(VLOOKUP($U47,Calendário!$L$97:$N$106,3,FALSE))),VLOOKUP($U47,Calendário!$L$97:$N$106,3,FALSE),IF(NOT(ISERROR(VLOOKUP($U47,Calendário!$P$97:$R$106,3,FALSE))),VLOOKUP($U47,Calendário!$P$97:$R$106,3,FALSE),IF(NOT(ISERROR(VLOOKUP($U47,Calendário!$T$97:$V$106,3,FALSE))),VLOOKUP($U47,Calendário!$T$97:$V$106,3,FALSE),"--")))))</f>
        <v>42755</v>
      </c>
      <c r="AC47" t="str">
        <f>IF(NOT(ISERROR(VLOOKUP($U47,Calendário!$X$97:$Z$106,3,FALSE))),VLOOKUP($U47,Calendário!$X$97:$Z$106,3,FALSE),"--")</f>
        <v>--</v>
      </c>
      <c r="AD47" s="209" t="str">
        <f>IF(NOT(ISERROR(VLOOKUP($U47,Calendário!$D$7:$F$56,2,FALSE))),VLOOKUP($U47,Calendário!$D$7:$F$56,2,FALSE),IF(NOT(ISERROR(VLOOKUP($U47,Calendário!$H$7:$J$56,2,FALSE))),VLOOKUP($U47,Calendário!$H$7:$J$56,2,FALSE),IF(NOT(ISERROR(VLOOKUP($U47,Calendário!$L$7:$N$56,2,FALSE))),VLOOKUP($U47,Calendário!$L$7:$N$56,2,FALSE),IF(NOT(ISERROR(VLOOKUP($U47,Calendário!$P$7:$R$56,2,FALSE))),VLOOKUP($U47,Calendário!$P$7:$R$56,2,FALSE),IF(NOT(ISERROR(VLOOKUP($U47,Calendário!$T$7:$V$56,2,FALSE))),VLOOKUP($U47,Calendário!$T$7:$V$56,2,FALSE),"--")))))</f>
        <v>11h</v>
      </c>
      <c r="AE47" t="str">
        <f>IF(NOT(ISERROR(VLOOKUP($U47,Calendário!$X$7:$Z$51,2,FALSE))),VLOOKUP($U47,Calendário!$X$7:$Z$51,2,FALSE),"--")</f>
        <v>--</v>
      </c>
      <c r="AF47" t="str">
        <f>IF(NOT(ISERROR(VLOOKUP($U47,Calendário!$D$57:$F$76,2,FALSE))),VLOOKUP($U47,Calendário!$D$57:$F$76,2,FALSE),IF(NOT(ISERROR(VLOOKUP($U47,Calendário!$H$57:$J$76,2,FALSE))),VLOOKUP($U47,Calendário!$H$57:$J$76,2,FALSE),IF(NOT(ISERROR(VLOOKUP($U47,Calendário!$L$57:$N$76,2,FALSE))),VLOOKUP($U47,Calendário!$L$57:$N$76,2,FALSE),IF(NOT(ISERROR(VLOOKUP($U47,Calendário!$P$57:$R$76,2,FALSE))),VLOOKUP($U47,Calendário!$P$57:$R$76,2,FALSE),IF(NOT(ISERROR(VLOOKUP($U47,Calendário!$T$57:$V$76,2,FALSE))),VLOOKUP($U47,Calendário!$T$57:$V$76,2,FALSE),"--")))))</f>
        <v>11h</v>
      </c>
      <c r="AG47" t="str">
        <f>IF(NOT(ISERROR(VLOOKUP($U47,Calendário!$X$57:$Z$76,2,FALSE))),VLOOKUP($U47,Calendário!$X$57:$Z$76,2,FALSE),"--")</f>
        <v>--</v>
      </c>
      <c r="AH47" t="str">
        <f>IF(NOT(ISERROR(VLOOKUP($U47,Calendário!$D$87:$F$96,2,FALSE))),VLOOKUP($U47,Calendário!$D$87:$F$96,2,FALSE),IF(NOT(ISERROR(VLOOKUP($U47,Calendário!$H$87:$J$96,2,FALSE))),VLOOKUP($U47,Calendário!$H$87:$J$96,2,FALSE),IF(NOT(ISERROR(VLOOKUP($U47,Calendário!$L$87:$N$96,2,FALSE))),VLOOKUP($U47,Calendário!$L$87:$N$96,2,FALSE),IF(NOT(ISERROR(VLOOKUP($U47,Calendário!$P$87:$R$96,2,FALSE))),VLOOKUP($U47,Calendário!$P$87:$R$96,2,FALSE),IF(NOT(ISERROR(VLOOKUP($U47,Calendário!$T$87:$V$96,2,FALSE))),VLOOKUP($U47,Calendário!$T$87:$V$96,2,FALSE),"--")))))</f>
        <v>10h</v>
      </c>
      <c r="AI47" t="str">
        <f>IF(NOT(ISERROR(VLOOKUP($U47,Calendário!$X$87:$Z$96,2,FALSE))),VLOOKUP($U47,Calendário!$X$87:$Z$96,2,FALSE),"--")</f>
        <v>--</v>
      </c>
      <c r="AJ47" t="str">
        <f>IF(NOT(ISERROR(VLOOKUP($U47,Calendário!$D$97:$F$106,2,FALSE))),VLOOKUP($U47,Calendário!$D$97:$F$106,2,FALSE),IF(NOT(ISERROR(VLOOKUP($U47,Calendário!$H$97:$J$106,2,FALSE))),VLOOKUP($U47,Calendário!$H$97:$J$106,2,FALSE),IF(NOT(ISERROR(VLOOKUP($U47,Calendário!$L$97:$N$106,2,FALSE))),VLOOKUP($U47,Calendário!$L$97:$N$106,2,FALSE),IF(NOT(ISERROR(VLOOKUP($U47,Calendário!$P$97:$R$106,2,FALSE))),VLOOKUP($U47,Calendário!$P$97:$R$106,2,FALSE),IF(NOT(ISERROR(VLOOKUP($U47,Calendário!$T$97:$V$106,2,FALSE))),VLOOKUP($U47,Calendário!$T$97:$V$106,2,FALSE),"--")))))</f>
        <v>10h</v>
      </c>
      <c r="AK47" t="str">
        <f>IF(NOT(ISERROR(VLOOKUP($U47,Calendário!$X$97:$Z$106,2,FALSE))),VLOOKUP($U47,Calendário!$X$97:$Z$106,2,FALSE),"--")</f>
        <v>--</v>
      </c>
      <c r="AL47" s="57" t="s">
        <v>91</v>
      </c>
    </row>
    <row r="48" spans="2:38" ht="15" x14ac:dyDescent="0.2">
      <c r="B48" s="67" t="b">
        <v>1</v>
      </c>
      <c r="U48" t="s">
        <v>65</v>
      </c>
      <c r="V48" s="209" t="str">
        <f>IF(NOT(ISERROR(VLOOKUP($U48,Calendário!$D$7:$F$56,3,FALSE))),VLOOKUP($U48,Calendário!$D$7:$F$56,3,FALSE),IF(NOT(ISERROR(VLOOKUP($U48,Calendário!$H$7:$J$56,3,FALSE))),VLOOKUP($U48,Calendário!$H$7:$J$56,3,FALSE),IF(NOT(ISERROR(VLOOKUP($U48,Calendário!$L$7:$N$56,3,FALSE))),VLOOKUP($U48,Calendário!$L$7:$N$56,3,FALSE),IF(NOT(ISERROR(VLOOKUP($U48,Calendário!$P$7:$R$56,3,FALSE))),VLOOKUP($U48,Calendário!$P$7:$R$56,3,FALSE),IF(NOT(ISERROR(VLOOKUP($U48,Calendário!$T$7:$V$56,3,FALSE))),VLOOKUP($U48,Calendário!$T$7:$V$56,3,FALSE),"--")))))</f>
        <v>--</v>
      </c>
      <c r="W48" t="str">
        <f>IF(NOT(ISERROR(VLOOKUP($U48,Calendário!$X$7:$Z$51,3,FALSE))),VLOOKUP($U48,Calendário!$X$7:$Z$51,3,FALSE),"--")</f>
        <v>--</v>
      </c>
      <c r="X48" s="209">
        <f>IF(NOT(ISERROR(VLOOKUP($U48,Calendário!$D$57:$F$76,3,FALSE))),VLOOKUP($U48,Calendário!$D$57:$F$76,3,FALSE),IF(NOT(ISERROR(VLOOKUP($U48,Calendário!$H$57:$J$76,3,FALSE))),VLOOKUP($U48,Calendário!$H$57:$J$76,3,FALSE),IF(NOT(ISERROR(VLOOKUP($U48,Calendário!$L$57:$N$76,3,FALSE))),VLOOKUP($U48,Calendário!$L$57:$N$76,3,FALSE),IF(NOT(ISERROR(VLOOKUP($U48,Calendário!$P$57:$R$76,3,FALSE))),VLOOKUP($U48,Calendário!$P$57:$R$76,3,FALSE),IF(NOT(ISERROR(VLOOKUP($U48,Calendário!$T$57:$V$76,3,FALSE))),VLOOKUP($U48,Calendário!$T$57:$V$76,3,FALSE),"--")))))</f>
        <v>42718</v>
      </c>
      <c r="Y48" t="str">
        <f>IF(NOT(ISERROR(VLOOKUP($U48,Calendário!$X$57:$Z$76,3,FALSE))),VLOOKUP($U48,Calendário!$X$57:$Z$76,3,FALSE),"--")</f>
        <v>--</v>
      </c>
      <c r="Z48" s="209">
        <f>IF(NOT(ISERROR(VLOOKUP($U48,Calendário!$D$87:$F$96,3,FALSE))),VLOOKUP($U48,Calendário!$D$87:$F$96,3,FALSE),IF(NOT(ISERROR(VLOOKUP($U48,Calendário!$H$87:$J$96,3,FALSE))),VLOOKUP($U48,Calendário!$H$87:$J$96,3,FALSE),IF(NOT(ISERROR(VLOOKUP($U48,Calendário!$L$87:$N$96,3,FALSE))),VLOOKUP($U48,Calendário!$L$87:$N$96,3,FALSE),IF(NOT(ISERROR(VLOOKUP($U48,Calendário!$P$87:$R$96,3,FALSE))),VLOOKUP($U48,Calendário!$P$87:$R$96,3,FALSE),IF(NOT(ISERROR(VLOOKUP($U48,Calendário!$T$87:$V$96,3,FALSE))),VLOOKUP($U48,Calendário!$T$87:$V$96,3,FALSE),"--")))))</f>
        <v>42744</v>
      </c>
      <c r="AA48" t="str">
        <f>IF(NOT(ISERROR(VLOOKUP($U48,Calendário!$X$87:$Z$96,3,FALSE))),VLOOKUP($U48,Calendário!$X$87:$Z$96,3,FALSE),"--")</f>
        <v>--</v>
      </c>
      <c r="AB48">
        <f>IF(NOT(ISERROR(VLOOKUP($U48,Calendário!$D$97:$F$106,3,FALSE))),VLOOKUP($U48,Calendário!$D$97:$F$106,3,FALSE),IF(NOT(ISERROR(VLOOKUP($U48,Calendário!$H$97:$J$106,3,FALSE))),VLOOKUP($U48,Calendário!$H$97:$J$106,3,FALSE),IF(NOT(ISERROR(VLOOKUP($U48,Calendário!$L$97:$N$106,3,FALSE))),VLOOKUP($U48,Calendário!$L$97:$N$106,3,FALSE),IF(NOT(ISERROR(VLOOKUP($U48,Calendário!$P$97:$R$106,3,FALSE))),VLOOKUP($U48,Calendário!$P$97:$R$106,3,FALSE),IF(NOT(ISERROR(VLOOKUP($U48,Calendário!$T$97:$V$106,3,FALSE))),VLOOKUP($U48,Calendário!$T$97:$V$106,3,FALSE),"--")))))</f>
        <v>42758</v>
      </c>
      <c r="AC48" t="str">
        <f>IF(NOT(ISERROR(VLOOKUP($U48,Calendário!$X$97:$Z$106,3,FALSE))),VLOOKUP($U48,Calendário!$X$97:$Z$106,3,FALSE),"--")</f>
        <v>--</v>
      </c>
      <c r="AD48" s="209" t="str">
        <f>IF(NOT(ISERROR(VLOOKUP($U48,Calendário!$D$7:$F$56,2,FALSE))),VLOOKUP($U48,Calendário!$D$7:$F$56,2,FALSE),IF(NOT(ISERROR(VLOOKUP($U48,Calendário!$H$7:$J$56,2,FALSE))),VLOOKUP($U48,Calendário!$H$7:$J$56,2,FALSE),IF(NOT(ISERROR(VLOOKUP($U48,Calendário!$L$7:$N$56,2,FALSE))),VLOOKUP($U48,Calendário!$L$7:$N$56,2,FALSE),IF(NOT(ISERROR(VLOOKUP($U48,Calendário!$P$7:$R$56,2,FALSE))),VLOOKUP($U48,Calendário!$P$7:$R$56,2,FALSE),IF(NOT(ISERROR(VLOOKUP($U48,Calendário!$T$7:$V$56,2,FALSE))),VLOOKUP($U48,Calendário!$T$7:$V$56,2,FALSE),"--")))))</f>
        <v>--</v>
      </c>
      <c r="AE48" t="str">
        <f>IF(NOT(ISERROR(VLOOKUP($U48,Calendário!$X$7:$Z$51,2,FALSE))),VLOOKUP($U48,Calendário!$X$7:$Z$51,2,FALSE),"--")</f>
        <v>--</v>
      </c>
      <c r="AF48" t="str">
        <f>IF(NOT(ISERROR(VLOOKUP($U48,Calendário!$D$57:$F$76,2,FALSE))),VLOOKUP($U48,Calendário!$D$57:$F$76,2,FALSE),IF(NOT(ISERROR(VLOOKUP($U48,Calendário!$H$57:$J$76,2,FALSE))),VLOOKUP($U48,Calendário!$H$57:$J$76,2,FALSE),IF(NOT(ISERROR(VLOOKUP($U48,Calendário!$L$57:$N$76,2,FALSE))),VLOOKUP($U48,Calendário!$L$57:$N$76,2,FALSE),IF(NOT(ISERROR(VLOOKUP($U48,Calendário!$P$57:$R$76,2,FALSE))),VLOOKUP($U48,Calendário!$P$57:$R$76,2,FALSE),IF(NOT(ISERROR(VLOOKUP($U48,Calendário!$T$57:$V$76,2,FALSE))),VLOOKUP($U48,Calendário!$T$57:$V$76,2,FALSE),"--")))))</f>
        <v>9h</v>
      </c>
      <c r="AG48" t="str">
        <f>IF(NOT(ISERROR(VLOOKUP($U48,Calendário!$X$57:$Z$76,2,FALSE))),VLOOKUP($U48,Calendário!$X$57:$Z$76,2,FALSE),"--")</f>
        <v>--</v>
      </c>
      <c r="AH48" t="str">
        <f>IF(NOT(ISERROR(VLOOKUP($U48,Calendário!$D$87:$F$96,2,FALSE))),VLOOKUP($U48,Calendário!$D$87:$F$96,2,FALSE),IF(NOT(ISERROR(VLOOKUP($U48,Calendário!$H$87:$J$96,2,FALSE))),VLOOKUP($U48,Calendário!$H$87:$J$96,2,FALSE),IF(NOT(ISERROR(VLOOKUP($U48,Calendário!$L$87:$N$96,2,FALSE))),VLOOKUP($U48,Calendário!$L$87:$N$96,2,FALSE),IF(NOT(ISERROR(VLOOKUP($U48,Calendário!$P$87:$R$96,2,FALSE))),VLOOKUP($U48,Calendário!$P$87:$R$96,2,FALSE),IF(NOT(ISERROR(VLOOKUP($U48,Calendário!$T$87:$V$96,2,FALSE))),VLOOKUP($U48,Calendário!$T$87:$V$96,2,FALSE),"--")))))</f>
        <v>14h</v>
      </c>
      <c r="AI48" t="str">
        <f>IF(NOT(ISERROR(VLOOKUP($U48,Calendário!$X$87:$Z$96,2,FALSE))),VLOOKUP($U48,Calendário!$X$87:$Z$96,2,FALSE),"--")</f>
        <v>--</v>
      </c>
      <c r="AJ48" t="str">
        <f>IF(NOT(ISERROR(VLOOKUP($U48,Calendário!$D$97:$F$106,2,FALSE))),VLOOKUP($U48,Calendário!$D$97:$F$106,2,FALSE),IF(NOT(ISERROR(VLOOKUP($U48,Calendário!$H$97:$J$106,2,FALSE))),VLOOKUP($U48,Calendário!$H$97:$J$106,2,FALSE),IF(NOT(ISERROR(VLOOKUP($U48,Calendário!$L$97:$N$106,2,FALSE))),VLOOKUP($U48,Calendário!$L$97:$N$106,2,FALSE),IF(NOT(ISERROR(VLOOKUP($U48,Calendário!$P$97:$R$106,2,FALSE))),VLOOKUP($U48,Calendário!$P$97:$R$106,2,FALSE),IF(NOT(ISERROR(VLOOKUP($U48,Calendário!$T$97:$V$106,2,FALSE))),VLOOKUP($U48,Calendário!$T$97:$V$106,2,FALSE),"--")))))</f>
        <v>14h</v>
      </c>
      <c r="AK48" t="str">
        <f>IF(NOT(ISERROR(VLOOKUP($U48,Calendário!$X$97:$Z$106,2,FALSE))),VLOOKUP($U48,Calendário!$X$97:$Z$106,2,FALSE),"--")</f>
        <v>--</v>
      </c>
      <c r="AL48" s="57" t="s">
        <v>90</v>
      </c>
    </row>
    <row r="49" spans="2:38" ht="15" x14ac:dyDescent="0.2">
      <c r="B49" s="67" t="b">
        <v>1</v>
      </c>
      <c r="U49" t="s">
        <v>65</v>
      </c>
      <c r="V49" s="209" t="str">
        <f>IF(NOT(ISERROR(VLOOKUP($U49,Calendário!$D$7:$F$56,3,FALSE))),VLOOKUP($U49,Calendário!$D$7:$F$56,3,FALSE),IF(NOT(ISERROR(VLOOKUP($U49,Calendário!$H$7:$J$56,3,FALSE))),VLOOKUP($U49,Calendário!$H$7:$J$56,3,FALSE),IF(NOT(ISERROR(VLOOKUP($U49,Calendário!$L$7:$N$56,3,FALSE))),VLOOKUP($U49,Calendário!$L$7:$N$56,3,FALSE),IF(NOT(ISERROR(VLOOKUP($U49,Calendário!$P$7:$R$56,3,FALSE))),VLOOKUP($U49,Calendário!$P$7:$R$56,3,FALSE),IF(NOT(ISERROR(VLOOKUP($U49,Calendário!$T$7:$V$56,3,FALSE))),VLOOKUP($U49,Calendário!$T$7:$V$56,3,FALSE),"--")))))</f>
        <v>--</v>
      </c>
      <c r="W49" t="str">
        <f>IF(NOT(ISERROR(VLOOKUP($U49,Calendário!$X$7:$Z$51,3,FALSE))),VLOOKUP($U49,Calendário!$X$7:$Z$51,3,FALSE),"--")</f>
        <v>--</v>
      </c>
      <c r="X49" s="209">
        <f>IF(NOT(ISERROR(VLOOKUP($U49,Calendário!$D$57:$F$76,3,FALSE))),VLOOKUP($U49,Calendário!$D$57:$F$76,3,FALSE),IF(NOT(ISERROR(VLOOKUP($U49,Calendário!$H$57:$J$76,3,FALSE))),VLOOKUP($U49,Calendário!$H$57:$J$76,3,FALSE),IF(NOT(ISERROR(VLOOKUP($U49,Calendário!$L$57:$N$76,3,FALSE))),VLOOKUP($U49,Calendário!$L$57:$N$76,3,FALSE),IF(NOT(ISERROR(VLOOKUP($U49,Calendário!$P$57:$R$76,3,FALSE))),VLOOKUP($U49,Calendário!$P$57:$R$76,3,FALSE),IF(NOT(ISERROR(VLOOKUP($U49,Calendário!$T$57:$V$76,3,FALSE))),VLOOKUP($U49,Calendário!$T$57:$V$76,3,FALSE),"--")))))</f>
        <v>42718</v>
      </c>
      <c r="Y49" t="str">
        <f>IF(NOT(ISERROR(VLOOKUP($U49,Calendário!$X$57:$Z$76,3,FALSE))),VLOOKUP($U49,Calendário!$X$57:$Z$76,3,FALSE),"--")</f>
        <v>--</v>
      </c>
      <c r="Z49" s="209">
        <f>IF(NOT(ISERROR(VLOOKUP($U49,Calendário!$D$87:$F$96,3,FALSE))),VLOOKUP($U49,Calendário!$D$87:$F$96,3,FALSE),IF(NOT(ISERROR(VLOOKUP($U49,Calendário!$H$87:$J$96,3,FALSE))),VLOOKUP($U49,Calendário!$H$87:$J$96,3,FALSE),IF(NOT(ISERROR(VLOOKUP($U49,Calendário!$L$87:$N$96,3,FALSE))),VLOOKUP($U49,Calendário!$L$87:$N$96,3,FALSE),IF(NOT(ISERROR(VLOOKUP($U49,Calendário!$P$87:$R$96,3,FALSE))),VLOOKUP($U49,Calendário!$P$87:$R$96,3,FALSE),IF(NOT(ISERROR(VLOOKUP($U49,Calendário!$T$87:$V$96,3,FALSE))),VLOOKUP($U49,Calendário!$T$87:$V$96,3,FALSE),"--")))))</f>
        <v>42744</v>
      </c>
      <c r="AA49" t="str">
        <f>IF(NOT(ISERROR(VLOOKUP($U49,Calendário!$X$87:$Z$96,3,FALSE))),VLOOKUP($U49,Calendário!$X$87:$Z$96,3,FALSE),"--")</f>
        <v>--</v>
      </c>
      <c r="AB49">
        <f>IF(NOT(ISERROR(VLOOKUP($U49,Calendário!$D$97:$F$106,3,FALSE))),VLOOKUP($U49,Calendário!$D$97:$F$106,3,FALSE),IF(NOT(ISERROR(VLOOKUP($U49,Calendário!$H$97:$J$106,3,FALSE))),VLOOKUP($U49,Calendário!$H$97:$J$106,3,FALSE),IF(NOT(ISERROR(VLOOKUP($U49,Calendário!$L$97:$N$106,3,FALSE))),VLOOKUP($U49,Calendário!$L$97:$N$106,3,FALSE),IF(NOT(ISERROR(VLOOKUP($U49,Calendário!$P$97:$R$106,3,FALSE))),VLOOKUP($U49,Calendário!$P$97:$R$106,3,FALSE),IF(NOT(ISERROR(VLOOKUP($U49,Calendário!$T$97:$V$106,3,FALSE))),VLOOKUP($U49,Calendário!$T$97:$V$106,3,FALSE),"--")))))</f>
        <v>42758</v>
      </c>
      <c r="AC49" t="str">
        <f>IF(NOT(ISERROR(VLOOKUP($U49,Calendário!$X$97:$Z$106,3,FALSE))),VLOOKUP($U49,Calendário!$X$97:$Z$106,3,FALSE),"--")</f>
        <v>--</v>
      </c>
      <c r="AD49" s="209" t="str">
        <f>IF(NOT(ISERROR(VLOOKUP($U49,Calendário!$D$7:$F$56,2,FALSE))),VLOOKUP($U49,Calendário!$D$7:$F$56,2,FALSE),IF(NOT(ISERROR(VLOOKUP($U49,Calendário!$H$7:$J$56,2,FALSE))),VLOOKUP($U49,Calendário!$H$7:$J$56,2,FALSE),IF(NOT(ISERROR(VLOOKUP($U49,Calendário!$L$7:$N$56,2,FALSE))),VLOOKUP($U49,Calendário!$L$7:$N$56,2,FALSE),IF(NOT(ISERROR(VLOOKUP($U49,Calendário!$P$7:$R$56,2,FALSE))),VLOOKUP($U49,Calendário!$P$7:$R$56,2,FALSE),IF(NOT(ISERROR(VLOOKUP($U49,Calendário!$T$7:$V$56,2,FALSE))),VLOOKUP($U49,Calendário!$T$7:$V$56,2,FALSE),"--")))))</f>
        <v>--</v>
      </c>
      <c r="AE49" t="str">
        <f>IF(NOT(ISERROR(VLOOKUP($U49,Calendário!$X$7:$Z$51,2,FALSE))),VLOOKUP($U49,Calendário!$X$7:$Z$51,2,FALSE),"--")</f>
        <v>--</v>
      </c>
      <c r="AF49" t="str">
        <f>IF(NOT(ISERROR(VLOOKUP($U49,Calendário!$D$57:$F$76,2,FALSE))),VLOOKUP($U49,Calendário!$D$57:$F$76,2,FALSE),IF(NOT(ISERROR(VLOOKUP($U49,Calendário!$H$57:$J$76,2,FALSE))),VLOOKUP($U49,Calendário!$H$57:$J$76,2,FALSE),IF(NOT(ISERROR(VLOOKUP($U49,Calendário!$L$57:$N$76,2,FALSE))),VLOOKUP($U49,Calendário!$L$57:$N$76,2,FALSE),IF(NOT(ISERROR(VLOOKUP($U49,Calendário!$P$57:$R$76,2,FALSE))),VLOOKUP($U49,Calendário!$P$57:$R$76,2,FALSE),IF(NOT(ISERROR(VLOOKUP($U49,Calendário!$T$57:$V$76,2,FALSE))),VLOOKUP($U49,Calendário!$T$57:$V$76,2,FALSE),"--")))))</f>
        <v>9h</v>
      </c>
      <c r="AG49" t="str">
        <f>IF(NOT(ISERROR(VLOOKUP($U49,Calendário!$X$57:$Z$76,2,FALSE))),VLOOKUP($U49,Calendário!$X$57:$Z$76,2,FALSE),"--")</f>
        <v>--</v>
      </c>
      <c r="AH49" t="str">
        <f>IF(NOT(ISERROR(VLOOKUP($U49,Calendário!$D$87:$F$96,2,FALSE))),VLOOKUP($U49,Calendário!$D$87:$F$96,2,FALSE),IF(NOT(ISERROR(VLOOKUP($U49,Calendário!$H$87:$J$96,2,FALSE))),VLOOKUP($U49,Calendário!$H$87:$J$96,2,FALSE),IF(NOT(ISERROR(VLOOKUP($U49,Calendário!$L$87:$N$96,2,FALSE))),VLOOKUP($U49,Calendário!$L$87:$N$96,2,FALSE),IF(NOT(ISERROR(VLOOKUP($U49,Calendário!$P$87:$R$96,2,FALSE))),VLOOKUP($U49,Calendário!$P$87:$R$96,2,FALSE),IF(NOT(ISERROR(VLOOKUP($U49,Calendário!$T$87:$V$96,2,FALSE))),VLOOKUP($U49,Calendário!$T$87:$V$96,2,FALSE),"--")))))</f>
        <v>14h</v>
      </c>
      <c r="AI49" t="str">
        <f>IF(NOT(ISERROR(VLOOKUP($U49,Calendário!$X$87:$Z$96,2,FALSE))),VLOOKUP($U49,Calendário!$X$87:$Z$96,2,FALSE),"--")</f>
        <v>--</v>
      </c>
      <c r="AJ49" t="str">
        <f>IF(NOT(ISERROR(VLOOKUP($U49,Calendário!$D$97:$F$106,2,FALSE))),VLOOKUP($U49,Calendário!$D$97:$F$106,2,FALSE),IF(NOT(ISERROR(VLOOKUP($U49,Calendário!$H$97:$J$106,2,FALSE))),VLOOKUP($U49,Calendário!$H$97:$J$106,2,FALSE),IF(NOT(ISERROR(VLOOKUP($U49,Calendário!$L$97:$N$106,2,FALSE))),VLOOKUP($U49,Calendário!$L$97:$N$106,2,FALSE),IF(NOT(ISERROR(VLOOKUP($U49,Calendário!$P$97:$R$106,2,FALSE))),VLOOKUP($U49,Calendário!$P$97:$R$106,2,FALSE),IF(NOT(ISERROR(VLOOKUP($U49,Calendário!$T$97:$V$106,2,FALSE))),VLOOKUP($U49,Calendário!$T$97:$V$106,2,FALSE),"--")))))</f>
        <v>14h</v>
      </c>
      <c r="AK49" t="str">
        <f>IF(NOT(ISERROR(VLOOKUP($U49,Calendário!$X$97:$Z$106,2,FALSE))),VLOOKUP($U49,Calendário!$X$97:$Z$106,2,FALSE),"--")</f>
        <v>--</v>
      </c>
      <c r="AL49" s="57" t="s">
        <v>91</v>
      </c>
    </row>
    <row r="50" spans="2:38" x14ac:dyDescent="0.2">
      <c r="B50" s="67"/>
    </row>
    <row r="51" spans="2:38" x14ac:dyDescent="0.2">
      <c r="B51" s="67" t="b">
        <v>0</v>
      </c>
    </row>
    <row r="52" spans="2:38" x14ac:dyDescent="0.2">
      <c r="B52" s="67" t="b">
        <v>1</v>
      </c>
    </row>
  </sheetData>
  <mergeCells count="21">
    <mergeCell ref="B9:B10"/>
    <mergeCell ref="B7:Q7"/>
    <mergeCell ref="B6:P6"/>
    <mergeCell ref="B5:F5"/>
    <mergeCell ref="B1:R1"/>
    <mergeCell ref="B2:R2"/>
    <mergeCell ref="B4:R4"/>
    <mergeCell ref="B3:Q3"/>
    <mergeCell ref="C9:F9"/>
    <mergeCell ref="G9:J9"/>
    <mergeCell ref="O9:R9"/>
    <mergeCell ref="K9:N9"/>
    <mergeCell ref="U2:AK2"/>
    <mergeCell ref="AF10:AG10"/>
    <mergeCell ref="AH10:AI10"/>
    <mergeCell ref="AJ10:AK10"/>
    <mergeCell ref="V10:W10"/>
    <mergeCell ref="X10:Y10"/>
    <mergeCell ref="Z10:AA10"/>
    <mergeCell ref="AB10:AC10"/>
    <mergeCell ref="AD10:AE10"/>
  </mergeCells>
  <phoneticPr fontId="2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5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Exame2">
          <controlPr defaultSize="0" autoLine="0" linkedCell="B49" r:id="rId5">
            <anchor moveWithCells="1">
              <from>
                <xdr:col>1</xdr:col>
                <xdr:colOff>2209800</xdr:colOff>
                <xdr:row>47</xdr:row>
                <xdr:rowOff>85725</xdr:rowOff>
              </from>
              <to>
                <xdr:col>2</xdr:col>
                <xdr:colOff>85725</xdr:colOff>
                <xdr:row>49</xdr:row>
                <xdr:rowOff>28575</xdr:rowOff>
              </to>
            </anchor>
          </controlPr>
        </control>
      </mc:Choice>
      <mc:Fallback>
        <control shapeId="1029" r:id="rId4" name="Exame2"/>
      </mc:Fallback>
    </mc:AlternateContent>
    <mc:AlternateContent xmlns:mc="http://schemas.openxmlformats.org/markup-compatibility/2006">
      <mc:Choice Requires="x14">
        <control shapeId="1028" r:id="rId6" name="Exame1">
          <controlPr defaultSize="0" autoLine="0" linkedCell="B48" r:id="rId7">
            <anchor moveWithCells="1">
              <from>
                <xdr:col>1</xdr:col>
                <xdr:colOff>847725</xdr:colOff>
                <xdr:row>47</xdr:row>
                <xdr:rowOff>85725</xdr:rowOff>
              </from>
              <to>
                <xdr:col>1</xdr:col>
                <xdr:colOff>2038350</xdr:colOff>
                <xdr:row>49</xdr:row>
                <xdr:rowOff>9525</xdr:rowOff>
              </to>
            </anchor>
          </controlPr>
        </control>
      </mc:Choice>
      <mc:Fallback>
        <control shapeId="1028" r:id="rId6" name="Exame1"/>
      </mc:Fallback>
    </mc:AlternateContent>
    <mc:AlternateContent xmlns:mc="http://schemas.openxmlformats.org/markup-compatibility/2006">
      <mc:Choice Requires="x14">
        <control shapeId="1027" r:id="rId8" name="Teste2">
          <controlPr defaultSize="0" autoLine="0" autoPict="0" linkedCell="B46" r:id="rId9">
            <anchor moveWithCells="1">
              <from>
                <xdr:col>1</xdr:col>
                <xdr:colOff>2257425</xdr:colOff>
                <xdr:row>44</xdr:row>
                <xdr:rowOff>95250</xdr:rowOff>
              </from>
              <to>
                <xdr:col>2</xdr:col>
                <xdr:colOff>152400</xdr:colOff>
                <xdr:row>46</xdr:row>
                <xdr:rowOff>47625</xdr:rowOff>
              </to>
            </anchor>
          </controlPr>
        </control>
      </mc:Choice>
      <mc:Fallback>
        <control shapeId="1027" r:id="rId8" name="Teste2"/>
      </mc:Fallback>
    </mc:AlternateContent>
    <mc:AlternateContent xmlns:mc="http://schemas.openxmlformats.org/markup-compatibility/2006">
      <mc:Choice Requires="x14">
        <control shapeId="1026" r:id="rId10" name="Teste1">
          <controlPr defaultSize="0" autoLine="0" autoPict="0" linkedCell="B45" r:id="rId11">
            <anchor moveWithCells="1">
              <from>
                <xdr:col>1</xdr:col>
                <xdr:colOff>838200</xdr:colOff>
                <xdr:row>44</xdr:row>
                <xdr:rowOff>95250</xdr:rowOff>
              </from>
              <to>
                <xdr:col>1</xdr:col>
                <xdr:colOff>2152650</xdr:colOff>
                <xdr:row>46</xdr:row>
                <xdr:rowOff>47625</xdr:rowOff>
              </to>
            </anchor>
          </controlPr>
        </control>
      </mc:Choice>
      <mc:Fallback>
        <control shapeId="1026" r:id="rId10" name="Teste1"/>
      </mc:Fallback>
    </mc:AlternateContent>
    <mc:AlternateContent xmlns:mc="http://schemas.openxmlformats.org/markup-compatibility/2006">
      <mc:Choice Requires="x14">
        <control shapeId="1025" r:id="rId12" name="Docentes">
          <controlPr defaultSize="0" autoLine="0" linkedCell="B51" r:id="rId13">
            <anchor moveWithCells="1">
              <from>
                <xdr:col>1</xdr:col>
                <xdr:colOff>838200</xdr:colOff>
                <xdr:row>50</xdr:row>
                <xdr:rowOff>66675</xdr:rowOff>
              </from>
              <to>
                <xdr:col>1</xdr:col>
                <xdr:colOff>1885950</xdr:colOff>
                <xdr:row>52</xdr:row>
                <xdr:rowOff>57150</xdr:rowOff>
              </to>
            </anchor>
          </controlPr>
        </control>
      </mc:Choice>
      <mc:Fallback>
        <control shapeId="1025" r:id="rId12" name="Docentes"/>
      </mc:Fallback>
    </mc:AlternateContent>
    <mc:AlternateContent xmlns:mc="http://schemas.openxmlformats.org/markup-compatibility/2006">
      <mc:Choice Requires="x14">
        <control shapeId="1030" r:id="rId14" name="Salas">
          <controlPr defaultSize="0" autoLine="0" linkedCell="B52" r:id="rId15">
            <anchor moveWithCells="1">
              <from>
                <xdr:col>1</xdr:col>
                <xdr:colOff>2200275</xdr:colOff>
                <xdr:row>50</xdr:row>
                <xdr:rowOff>66675</xdr:rowOff>
              </from>
              <to>
                <xdr:col>1</xdr:col>
                <xdr:colOff>3248025</xdr:colOff>
                <xdr:row>52</xdr:row>
                <xdr:rowOff>57150</xdr:rowOff>
              </to>
            </anchor>
          </controlPr>
        </control>
      </mc:Choice>
      <mc:Fallback>
        <control shapeId="1030" r:id="rId14" name="Sal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B54"/>
  <sheetViews>
    <sheetView topLeftCell="A20" zoomScale="85" zoomScaleNormal="85" workbookViewId="0">
      <selection activeCell="C12" sqref="C12:F42"/>
    </sheetView>
  </sheetViews>
  <sheetFormatPr defaultRowHeight="12.75" x14ac:dyDescent="0.2"/>
  <cols>
    <col min="1" max="1" width="1.5703125" customWidth="1"/>
    <col min="2" max="2" width="49.28515625" style="37" customWidth="1"/>
    <col min="3" max="3" width="13.7109375" style="38" customWidth="1"/>
    <col min="4" max="4" width="6.140625" style="38" bestFit="1" customWidth="1"/>
    <col min="5" max="5" width="7.5703125" style="38" customWidth="1"/>
    <col min="6" max="6" width="24.42578125" style="38" bestFit="1" customWidth="1"/>
    <col min="7" max="7" width="14.7109375" style="38" hidden="1" customWidth="1"/>
    <col min="8" max="8" width="6.140625" style="38" hidden="1" customWidth="1"/>
    <col min="9" max="9" width="14.140625" style="38" hidden="1" customWidth="1"/>
    <col min="10" max="10" width="32.42578125" style="38" hidden="1" customWidth="1"/>
    <col min="11" max="11" width="12.7109375" style="38" hidden="1" customWidth="1"/>
    <col min="12" max="12" width="5.140625" style="38" hidden="1" customWidth="1"/>
    <col min="13" max="13" width="9.28515625" style="38" hidden="1" customWidth="1"/>
    <col min="14" max="14" width="28.5703125" style="38" hidden="1" customWidth="1"/>
    <col min="15" max="15" width="10.7109375" style="38" hidden="1" customWidth="1"/>
    <col min="16" max="16" width="5.140625" style="38" hidden="1" customWidth="1"/>
    <col min="17" max="17" width="9.28515625" style="38" hidden="1" customWidth="1"/>
    <col min="18" max="18" width="27.42578125" style="38" hidden="1" customWidth="1"/>
    <col min="19" max="19" width="1.28515625" customWidth="1"/>
    <col min="20" max="20" width="17" customWidth="1"/>
    <col min="21" max="21" width="24.42578125" customWidth="1"/>
    <col min="22" max="26" width="9.140625" customWidth="1"/>
    <col min="27" max="27" width="19.140625" customWidth="1"/>
  </cols>
  <sheetData>
    <row r="1" spans="2:28" ht="21" x14ac:dyDescent="0.2">
      <c r="B1" s="289" t="s">
        <v>39</v>
      </c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</row>
    <row r="2" spans="2:28" ht="15.75" x14ac:dyDescent="0.2">
      <c r="B2" s="288" t="s">
        <v>157</v>
      </c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U2" s="282" t="s">
        <v>164</v>
      </c>
      <c r="V2" s="282"/>
      <c r="W2" s="282"/>
      <c r="X2" s="228"/>
      <c r="Y2" s="228"/>
      <c r="AB2" s="57" t="s">
        <v>106</v>
      </c>
    </row>
    <row r="3" spans="2:28" ht="15.75" hidden="1" x14ac:dyDescent="0.2">
      <c r="B3" s="282" t="s">
        <v>140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28"/>
    </row>
    <row r="4" spans="2:28" ht="15.75" x14ac:dyDescent="0.2">
      <c r="B4" s="282" t="s">
        <v>179</v>
      </c>
      <c r="C4" s="282"/>
      <c r="D4" s="282"/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  <c r="R4" s="282"/>
    </row>
    <row r="5" spans="2:28" ht="15.75" hidden="1" x14ac:dyDescent="0.2">
      <c r="B5" s="282" t="s">
        <v>139</v>
      </c>
      <c r="C5" s="282"/>
      <c r="D5" s="282"/>
      <c r="E5" s="282"/>
      <c r="F5" s="282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</row>
    <row r="6" spans="2:28" ht="15.75" x14ac:dyDescent="0.2"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28"/>
      <c r="R6" s="228"/>
    </row>
    <row r="7" spans="2:28" ht="21" hidden="1" x14ac:dyDescent="0.2">
      <c r="B7" s="287" t="s">
        <v>94</v>
      </c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31"/>
    </row>
    <row r="8" spans="2:28" ht="15.75" x14ac:dyDescent="0.2"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</row>
    <row r="9" spans="2:28" ht="15" x14ac:dyDescent="0.2">
      <c r="B9" s="285" t="s">
        <v>40</v>
      </c>
      <c r="C9" s="285" t="s">
        <v>180</v>
      </c>
      <c r="D9" s="285"/>
      <c r="E9" s="285"/>
      <c r="F9" s="285"/>
      <c r="G9" s="290" t="s">
        <v>89</v>
      </c>
      <c r="H9" s="290"/>
      <c r="I9" s="290"/>
      <c r="J9" s="290"/>
      <c r="K9" s="285" t="s">
        <v>41</v>
      </c>
      <c r="L9" s="285"/>
      <c r="M9" s="285"/>
      <c r="N9" s="285"/>
      <c r="O9" s="285" t="s">
        <v>42</v>
      </c>
      <c r="P9" s="285"/>
      <c r="Q9" s="285"/>
      <c r="R9" s="285"/>
      <c r="S9" s="140"/>
    </row>
    <row r="10" spans="2:28" ht="15" x14ac:dyDescent="0.2">
      <c r="B10" s="286"/>
      <c r="C10" s="230" t="s">
        <v>43</v>
      </c>
      <c r="D10" s="230" t="s">
        <v>44</v>
      </c>
      <c r="E10" s="230" t="s">
        <v>50</v>
      </c>
      <c r="F10" s="230" t="s">
        <v>61</v>
      </c>
      <c r="G10" s="230" t="s">
        <v>43</v>
      </c>
      <c r="H10" s="230" t="s">
        <v>44</v>
      </c>
      <c r="I10" s="230" t="s">
        <v>50</v>
      </c>
      <c r="J10" s="230" t="s">
        <v>61</v>
      </c>
      <c r="K10" s="230" t="s">
        <v>43</v>
      </c>
      <c r="L10" s="230" t="s">
        <v>44</v>
      </c>
      <c r="M10" s="230" t="s">
        <v>50</v>
      </c>
      <c r="N10" s="230" t="s">
        <v>61</v>
      </c>
      <c r="O10" s="230" t="s">
        <v>43</v>
      </c>
      <c r="P10" s="230" t="s">
        <v>44</v>
      </c>
      <c r="Q10" s="229" t="s">
        <v>50</v>
      </c>
      <c r="R10" s="229" t="s">
        <v>61</v>
      </c>
      <c r="S10" s="140"/>
      <c r="V10" s="284" t="s">
        <v>52</v>
      </c>
      <c r="W10" s="284"/>
      <c r="X10" s="291" t="s">
        <v>56</v>
      </c>
      <c r="Y10" s="291"/>
      <c r="AA10" s="93" t="s">
        <v>92</v>
      </c>
    </row>
    <row r="11" spans="2:28" x14ac:dyDescent="0.2">
      <c r="B11" s="204" t="s">
        <v>45</v>
      </c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6"/>
      <c r="Q11" s="186"/>
      <c r="R11" s="185"/>
      <c r="S11" s="140"/>
      <c r="V11" t="s">
        <v>51</v>
      </c>
    </row>
    <row r="12" spans="2:28" ht="15" x14ac:dyDescent="0.2">
      <c r="B12" s="188" t="s">
        <v>15</v>
      </c>
      <c r="C12" s="250">
        <f t="shared" ref="C12:C18" si="0">IF(V12&lt;&gt;"--",V12,W12)</f>
        <v>42788</v>
      </c>
      <c r="D12" s="251" t="str">
        <f>IF(X12&lt;&gt;"--",X12,Y12)</f>
        <v>14h30</v>
      </c>
      <c r="E12" s="252"/>
      <c r="F12" s="238" t="s">
        <v>149</v>
      </c>
      <c r="G12" s="192" t="e">
        <f>IF(#REF!&lt;&gt;"--",#REF!,#REF!)</f>
        <v>#REF!</v>
      </c>
      <c r="H12" s="193" t="e">
        <f>IF(#REF!&lt;&gt;"--",#REF!,#REF!)</f>
        <v>#REF!</v>
      </c>
      <c r="I12" s="199" t="s">
        <v>160</v>
      </c>
      <c r="J12" s="116" t="s">
        <v>149</v>
      </c>
      <c r="K12" s="192" t="e">
        <f>IF(#REF!&lt;&gt;"--",#REF!,#REF!)</f>
        <v>#REF!</v>
      </c>
      <c r="L12" s="193" t="e">
        <f>IF(#REF!&lt;&gt;"--",#REF!,#REF!)</f>
        <v>#REF!</v>
      </c>
      <c r="M12" s="191">
        <v>133</v>
      </c>
      <c r="N12" s="116" t="s">
        <v>149</v>
      </c>
      <c r="O12" s="192" t="e">
        <f>IF(#REF!&lt;&gt;"--",#REF!,#REF!)</f>
        <v>#REF!</v>
      </c>
      <c r="P12" s="193" t="e">
        <f>IF(#REF!&lt;&gt;"--",#REF!,#REF!)</f>
        <v>#REF!</v>
      </c>
      <c r="Q12" s="191">
        <v>133</v>
      </c>
      <c r="R12" s="116" t="s">
        <v>149</v>
      </c>
      <c r="S12" s="140"/>
      <c r="U12" s="57" t="s">
        <v>72</v>
      </c>
      <c r="V12" s="209">
        <f>IF(NOT(ISERROR(VLOOKUP($U12,Calendário!$D$122:$F$131,3,FALSE))),VLOOKUP($U12,Calendário!$D$122:$F$131,3,FALSE),IF(NOT(ISERROR(VLOOKUP($U12,Calendário!$H$122:$J$131,3,FALSE))),VLOOKUP($U12,Calendário!$H$122:$J$131,3,FALSE),IF(NOT(ISERROR(VLOOKUP($U12,Calendário!$L$122:$N$131,3,FALSE))),VLOOKUP($U12,Calendário!$L$122:$N$131,3,FALSE),IF(NOT(ISERROR(VLOOKUP($U12,Calendário!$P$122:$R$131,3,FALSE))),VLOOKUP($U12,Calendário!$P$122:$R$131,3,FALSE),IF(NOT(ISERROR(VLOOKUP($U12,Calendário!$T$122:$V$131,3,FALSE))),VLOOKUP($U12,Calendário!$T$122:$V$131,3,FALSE),"--")))))</f>
        <v>42788</v>
      </c>
      <c r="W12" t="str">
        <f>IF(NOT(ISERROR(VLOOKUP($U12,Calendário!$X$122:$Z$131,3,FALSE))),VLOOKUP($U12,Calendário!$X$122:$Z$131,3,FALSE),"--")</f>
        <v>--</v>
      </c>
      <c r="X12" s="209" t="str">
        <f>IF(NOT(ISERROR(VLOOKUP($U12,Calendário!$D$122:$F$131,2,FALSE))),VLOOKUP($U12,Calendário!$D$122:$F$131,2,FALSE),IF(NOT(ISERROR(VLOOKUP($U12,Calendário!$H$122:$J$131,2,FALSE))),VLOOKUP($U12,Calendário!$H$122:$J$131,2,FALSE),IF(NOT(ISERROR(VLOOKUP($U12,Calendário!$L$122:$N$131,2,FALSE))),VLOOKUP($U12,Calendário!$L$122:$N$131,2,FALSE),IF(NOT(ISERROR(VLOOKUP($U12,Calendário!$P$122:$R$131,2,FALSE))),VLOOKUP($U12,Calendário!$P$122:$R$131,2,FALSE),IF(NOT(ISERROR(VLOOKUP($U12,Calendário!$T$122:$V$131,2,FALSE))),VLOOKUP($U12,Calendário!$T$122:$V$131,2,FALSE),"--")))))</f>
        <v>14h30</v>
      </c>
      <c r="Y12" t="str">
        <f>IF(NOT(ISERROR(VLOOKUP($U12,Calendário!$X$7:$Z$51,2,FALSE))),VLOOKUP($U12,Calendário!$X$7:$Z$51,2,FALSE),"--")</f>
        <v>10h</v>
      </c>
    </row>
    <row r="13" spans="2:28" ht="15" x14ac:dyDescent="0.2">
      <c r="B13" s="182" t="s">
        <v>16</v>
      </c>
      <c r="C13" s="253">
        <f t="shared" si="0"/>
        <v>42795</v>
      </c>
      <c r="D13" s="251" t="str">
        <f t="shared" ref="D13:D17" si="1">IF(X13&lt;&gt;"--",X13,Y13)</f>
        <v>14h30</v>
      </c>
      <c r="E13" s="254"/>
      <c r="F13" s="238" t="s">
        <v>175</v>
      </c>
      <c r="G13" s="148" t="e">
        <f>IF(#REF!&lt;&gt;"--",#REF!,#REF!)</f>
        <v>#REF!</v>
      </c>
      <c r="H13" s="39" t="e">
        <f>IF(#REF!&lt;&gt;"--",#REF!,#REF!)</f>
        <v>#REF!</v>
      </c>
      <c r="I13" s="115" t="s">
        <v>160</v>
      </c>
      <c r="J13" s="116" t="s">
        <v>107</v>
      </c>
      <c r="K13" s="148" t="e">
        <f>IF(#REF!&lt;&gt;"--",#REF!,#REF!)</f>
        <v>#REF!</v>
      </c>
      <c r="L13" s="39" t="e">
        <f>IF(#REF!&lt;&gt;"--",#REF!,#REF!)</f>
        <v>#REF!</v>
      </c>
      <c r="M13" s="116">
        <v>133</v>
      </c>
      <c r="N13" s="116" t="s">
        <v>175</v>
      </c>
      <c r="O13" s="148" t="e">
        <f>IF(#REF!&lt;&gt;"--",#REF!,#REF!)</f>
        <v>#REF!</v>
      </c>
      <c r="P13" s="39" t="e">
        <f>IF(#REF!&lt;&gt;"--",#REF!,#REF!)</f>
        <v>#REF!</v>
      </c>
      <c r="Q13" s="116">
        <v>133</v>
      </c>
      <c r="R13" s="116" t="s">
        <v>175</v>
      </c>
      <c r="S13" s="140"/>
      <c r="U13" s="57" t="s">
        <v>74</v>
      </c>
      <c r="V13" s="209">
        <f>IF(NOT(ISERROR(VLOOKUP($U13,Calendário!$D$122:$F$131,3,FALSE))),VLOOKUP($U13,Calendário!$D$122:$F$131,3,FALSE),IF(NOT(ISERROR(VLOOKUP($U13,Calendário!$H$122:$J$131,3,FALSE))),VLOOKUP($U13,Calendário!$H$122:$J$131,3,FALSE),IF(NOT(ISERROR(VLOOKUP($U13,Calendário!$L$122:$N$131,3,FALSE))),VLOOKUP($U13,Calendário!$L$122:$N$131,3,FALSE),IF(NOT(ISERROR(VLOOKUP($U13,Calendário!$P$122:$R$131,3,FALSE))),VLOOKUP($U13,Calendário!$P$122:$R$131,3,FALSE),IF(NOT(ISERROR(VLOOKUP($U13,Calendário!$T$122:$V$131,3,FALSE))),VLOOKUP($U13,Calendário!$T$122:$V$131,3,FALSE),"--")))))</f>
        <v>42795</v>
      </c>
      <c r="W13" t="str">
        <f>IF(NOT(ISERROR(VLOOKUP($U13,Calendário!$X$122:$Z$131,3,FALSE))),VLOOKUP($U13,Calendário!$X$122:$Z$131,3,FALSE),"--")</f>
        <v>--</v>
      </c>
      <c r="X13" s="209" t="str">
        <f>IF(NOT(ISERROR(VLOOKUP($U13,Calendário!$D$122:$F$131,2,FALSE))),VLOOKUP($U13,Calendário!$D$122:$F$131,2,FALSE),IF(NOT(ISERROR(VLOOKUP($U13,Calendário!$H$122:$J$131,2,FALSE))),VLOOKUP($U13,Calendário!$H$122:$J$131,2,FALSE),IF(NOT(ISERROR(VLOOKUP($U13,Calendário!$L$122:$N$131,2,FALSE))),VLOOKUP($U13,Calendário!$L$122:$N$131,2,FALSE),IF(NOT(ISERROR(VLOOKUP($U13,Calendário!$P$122:$R$131,2,FALSE))),VLOOKUP($U13,Calendário!$P$122:$R$131,2,FALSE),IF(NOT(ISERROR(VLOOKUP($U13,Calendário!$T$122:$V$131,2,FALSE))),VLOOKUP($U13,Calendário!$T$122:$V$131,2,FALSE),"--")))))</f>
        <v>14h30</v>
      </c>
      <c r="Y13" t="str">
        <f>IF(NOT(ISERROR(VLOOKUP($U13,Calendário!$X$7:$Z$51,2,FALSE))),VLOOKUP($U13,Calendário!$X$7:$Z$51,2,FALSE),"--")</f>
        <v>--</v>
      </c>
    </row>
    <row r="14" spans="2:28" ht="15" x14ac:dyDescent="0.2">
      <c r="B14" s="183" t="s">
        <v>17</v>
      </c>
      <c r="C14" s="253">
        <f t="shared" si="0"/>
        <v>42797</v>
      </c>
      <c r="D14" s="251" t="str">
        <f t="shared" si="1"/>
        <v>14h30</v>
      </c>
      <c r="E14" s="254"/>
      <c r="F14" s="239" t="s">
        <v>172</v>
      </c>
      <c r="G14" s="148" t="e">
        <f>IF(#REF!&lt;&gt;"--",#REF!,#REF!)</f>
        <v>#REF!</v>
      </c>
      <c r="H14" s="39" t="e">
        <f>IF(#REF!&lt;&gt;"--",#REF!,#REF!)</f>
        <v>#REF!</v>
      </c>
      <c r="I14" s="110" t="s">
        <v>165</v>
      </c>
      <c r="J14" s="115" t="s">
        <v>155</v>
      </c>
      <c r="K14" s="148" t="e">
        <f>IF(#REF!&lt;&gt;"--",#REF!,#REF!)</f>
        <v>#REF!</v>
      </c>
      <c r="L14" s="39" t="e">
        <f>IF(#REF!&lt;&gt;"--",#REF!,#REF!)</f>
        <v>#REF!</v>
      </c>
      <c r="M14" s="116">
        <v>2.15</v>
      </c>
      <c r="N14" s="115" t="s">
        <v>172</v>
      </c>
      <c r="O14" s="148" t="e">
        <f>IF(#REF!&lt;&gt;"--",#REF!,#REF!)</f>
        <v>#REF!</v>
      </c>
      <c r="P14" s="39" t="e">
        <f>IF(#REF!&lt;&gt;"--",#REF!,#REF!)</f>
        <v>#REF!</v>
      </c>
      <c r="Q14" s="116">
        <v>2.15</v>
      </c>
      <c r="R14" s="115" t="s">
        <v>172</v>
      </c>
      <c r="S14" s="140"/>
      <c r="U14" s="57" t="s">
        <v>80</v>
      </c>
      <c r="V14" s="209">
        <f>IF(NOT(ISERROR(VLOOKUP($U14,Calendário!$D$122:$F$131,3,FALSE))),VLOOKUP($U14,Calendário!$D$122:$F$131,3,FALSE),IF(NOT(ISERROR(VLOOKUP($U14,Calendário!$H$122:$J$131,3,FALSE))),VLOOKUP($U14,Calendário!$H$122:$J$131,3,FALSE),IF(NOT(ISERROR(VLOOKUP($U14,Calendário!$L$122:$N$131,3,FALSE))),VLOOKUP($U14,Calendário!$L$122:$N$131,3,FALSE),IF(NOT(ISERROR(VLOOKUP($U14,Calendário!$P$122:$R$131,3,FALSE))),VLOOKUP($U14,Calendário!$P$122:$R$131,3,FALSE),IF(NOT(ISERROR(VLOOKUP($U14,Calendário!$T$122:$V$131,3,FALSE))),VLOOKUP($U14,Calendário!$T$122:$V$131,3,FALSE),"--")))))</f>
        <v>42797</v>
      </c>
      <c r="W14" t="str">
        <f>IF(NOT(ISERROR(VLOOKUP($U14,Calendário!$X$122:$Z$131,3,FALSE))),VLOOKUP($U14,Calendário!$X$122:$Z$131,3,FALSE),"--")</f>
        <v>--</v>
      </c>
      <c r="X14" s="209" t="str">
        <f>IF(NOT(ISERROR(VLOOKUP($U14,Calendário!$D$122:$F$131,2,FALSE))),VLOOKUP($U14,Calendário!$D$122:$F$131,2,FALSE),IF(NOT(ISERROR(VLOOKUP($U14,Calendário!$H$122:$J$131,2,FALSE))),VLOOKUP($U14,Calendário!$H$122:$J$131,2,FALSE),IF(NOT(ISERROR(VLOOKUP($U14,Calendário!$L$122:$N$131,2,FALSE))),VLOOKUP($U14,Calendário!$L$122:$N$131,2,FALSE),IF(NOT(ISERROR(VLOOKUP($U14,Calendário!$P$122:$R$131,2,FALSE))),VLOOKUP($U14,Calendário!$P$122:$R$131,2,FALSE),IF(NOT(ISERROR(VLOOKUP($U14,Calendário!$T$122:$V$131,2,FALSE))),VLOOKUP($U14,Calendário!$T$122:$V$131,2,FALSE),"--")))))</f>
        <v>14h30</v>
      </c>
      <c r="Y14" t="str">
        <f>IF(NOT(ISERROR(VLOOKUP($U14,Calendário!$X$7:$Z$51,2,FALSE))),VLOOKUP($U14,Calendário!$X$7:$Z$51,2,FALSE),"--")</f>
        <v>--</v>
      </c>
      <c r="AA14" s="42"/>
    </row>
    <row r="15" spans="2:28" ht="15" x14ac:dyDescent="0.2">
      <c r="B15" s="147" t="s">
        <v>18</v>
      </c>
      <c r="C15" s="253" t="str">
        <f>CONCATENATE(TEXT(IF(V48&lt;&gt;"--",V48,W48),"d-mmm")," / ",TEXT(IF(V49&lt;&gt;"--",V49,W49),"d-mmm"))</f>
        <v>24-fev / 24-fev</v>
      </c>
      <c r="D15" s="251" t="str">
        <f t="shared" si="1"/>
        <v>14h30</v>
      </c>
      <c r="E15" s="254"/>
      <c r="F15" s="238" t="s">
        <v>163</v>
      </c>
      <c r="G15" s="148" t="e">
        <f>IF(#REF!&lt;&gt;"--",#REF!,#REF!)</f>
        <v>#REF!</v>
      </c>
      <c r="H15" s="39" t="e">
        <f>IF(#REF!&lt;&gt;"--",#REF!,#REF!)</f>
        <v>#REF!</v>
      </c>
      <c r="I15" s="116" t="s">
        <v>161</v>
      </c>
      <c r="J15" s="116" t="s">
        <v>163</v>
      </c>
      <c r="K15" s="148" t="e">
        <f>IF(#REF!&lt;&gt;"--",#REF!,#REF!)</f>
        <v>#REF!</v>
      </c>
      <c r="L15" s="39" t="e">
        <f>IF(#REF!&lt;&gt;"--",#REF!,#REF!)</f>
        <v>#REF!</v>
      </c>
      <c r="M15" s="116">
        <v>133</v>
      </c>
      <c r="N15" s="116" t="s">
        <v>163</v>
      </c>
      <c r="O15" s="148" t="e">
        <f>IF(#REF!&lt;&gt;"--",#REF!,#REF!)</f>
        <v>#REF!</v>
      </c>
      <c r="P15" s="39" t="e">
        <f>IF(#REF!&lt;&gt;"--",#REF!,#REF!)</f>
        <v>#REF!</v>
      </c>
      <c r="Q15" s="116">
        <v>133</v>
      </c>
      <c r="R15" s="116" t="s">
        <v>163</v>
      </c>
      <c r="S15" s="140"/>
      <c r="U15" s="57" t="s">
        <v>66</v>
      </c>
      <c r="V15" s="209">
        <f>IF(NOT(ISERROR(VLOOKUP($U15,Calendário!$D$122:$F$131,3,FALSE))),VLOOKUP($U15,Calendário!$D$122:$F$131,3,FALSE),IF(NOT(ISERROR(VLOOKUP($U15,Calendário!$H$122:$J$131,3,FALSE))),VLOOKUP($U15,Calendário!$H$122:$J$131,3,FALSE),IF(NOT(ISERROR(VLOOKUP($U15,Calendário!$L$122:$N$131,3,FALSE))),VLOOKUP($U15,Calendário!$L$122:$N$131,3,FALSE),IF(NOT(ISERROR(VLOOKUP($U15,Calendário!$P$122:$R$131,3,FALSE))),VLOOKUP($U15,Calendário!$P$122:$R$131,3,FALSE),IF(NOT(ISERROR(VLOOKUP($U15,Calendário!$T$122:$V$131,3,FALSE))),VLOOKUP($U15,Calendário!$T$122:$V$131,3,FALSE),"--")))))</f>
        <v>42790</v>
      </c>
      <c r="W15" t="str">
        <f>IF(NOT(ISERROR(VLOOKUP($U15,Calendário!$X$122:$Z$131,3,FALSE))),VLOOKUP($U15,Calendário!$X$122:$Z$131,3,FALSE),"--")</f>
        <v>--</v>
      </c>
      <c r="X15" s="209" t="str">
        <f>IF(NOT(ISERROR(VLOOKUP($U15,Calendário!$D$122:$F$131,2,FALSE))),VLOOKUP($U15,Calendário!$D$122:$F$131,2,FALSE),IF(NOT(ISERROR(VLOOKUP($U15,Calendário!$H$122:$J$131,2,FALSE))),VLOOKUP($U15,Calendário!$H$122:$J$131,2,FALSE),IF(NOT(ISERROR(VLOOKUP($U15,Calendário!$L$122:$N$131,2,FALSE))),VLOOKUP($U15,Calendário!$L$122:$N$131,2,FALSE),IF(NOT(ISERROR(VLOOKUP($U15,Calendário!$P$122:$R$131,2,FALSE))),VLOOKUP($U15,Calendário!$P$122:$R$131,2,FALSE),IF(NOT(ISERROR(VLOOKUP($U15,Calendário!$T$122:$V$131,2,FALSE))),VLOOKUP($U15,Calendário!$T$122:$V$131,2,FALSE),"--")))))</f>
        <v>14h30</v>
      </c>
      <c r="Y15" t="str">
        <f>IF(NOT(ISERROR(VLOOKUP($U15,Calendário!$X$7:$Z$51,2,FALSE))),VLOOKUP($U15,Calendário!$X$7:$Z$51,2,FALSE),"--")</f>
        <v>--</v>
      </c>
    </row>
    <row r="16" spans="2:28" ht="15" x14ac:dyDescent="0.2">
      <c r="B16" s="147" t="s">
        <v>19</v>
      </c>
      <c r="C16" s="253">
        <f t="shared" si="0"/>
        <v>42793</v>
      </c>
      <c r="D16" s="251" t="str">
        <f t="shared" si="1"/>
        <v>14h30</v>
      </c>
      <c r="E16" s="254"/>
      <c r="F16" s="239" t="s">
        <v>177</v>
      </c>
      <c r="G16" s="148" t="e">
        <f>IF(#REF!&lt;&gt;"--",#REF!,#REF!)</f>
        <v>#REF!</v>
      </c>
      <c r="H16" s="39" t="e">
        <f>IF(#REF!&lt;&gt;"--",#REF!,#REF!)</f>
        <v>#REF!</v>
      </c>
      <c r="I16" s="115" t="s">
        <v>166</v>
      </c>
      <c r="J16" s="115" t="s">
        <v>170</v>
      </c>
      <c r="K16" s="148" t="e">
        <f>IF(#REF!&lt;&gt;"--",#REF!,#REF!)</f>
        <v>#REF!</v>
      </c>
      <c r="L16" s="39" t="e">
        <f>IF(#REF!&lt;&gt;"--",#REF!,#REF!)</f>
        <v>#REF!</v>
      </c>
      <c r="M16" s="116" t="s">
        <v>173</v>
      </c>
      <c r="N16" s="115" t="s">
        <v>176</v>
      </c>
      <c r="O16" s="148" t="e">
        <f>IF(#REF!&lt;&gt;"--",#REF!,#REF!)</f>
        <v>#REF!</v>
      </c>
      <c r="P16" s="39" t="e">
        <f>IF(#REF!&lt;&gt;"--",#REF!,#REF!)</f>
        <v>#REF!</v>
      </c>
      <c r="Q16" s="116" t="s">
        <v>173</v>
      </c>
      <c r="R16" s="115" t="s">
        <v>176</v>
      </c>
      <c r="S16" s="140"/>
      <c r="U16" s="57" t="s">
        <v>73</v>
      </c>
      <c r="V16" s="209">
        <f>IF(NOT(ISERROR(VLOOKUP($U16,Calendário!$D$122:$F$131,3,FALSE))),VLOOKUP($U16,Calendário!$D$122:$F$131,3,FALSE),IF(NOT(ISERROR(VLOOKUP($U16,Calendário!$H$122:$J$131,3,FALSE))),VLOOKUP($U16,Calendário!$H$122:$J$131,3,FALSE),IF(NOT(ISERROR(VLOOKUP($U16,Calendário!$L$122:$N$131,3,FALSE))),VLOOKUP($U16,Calendário!$L$122:$N$131,3,FALSE),IF(NOT(ISERROR(VLOOKUP($U16,Calendário!$P$122:$R$131,3,FALSE))),VLOOKUP($U16,Calendário!$P$122:$R$131,3,FALSE),IF(NOT(ISERROR(VLOOKUP($U16,Calendário!$T$122:$V$131,3,FALSE))),VLOOKUP($U16,Calendário!$T$122:$V$131,3,FALSE),"--")))))</f>
        <v>42793</v>
      </c>
      <c r="W16" t="str">
        <f>IF(NOT(ISERROR(VLOOKUP($U16,Calendário!$X$122:$Z$131,3,FALSE))),VLOOKUP($U16,Calendário!$X$122:$Z$131,3,FALSE),"--")</f>
        <v>--</v>
      </c>
      <c r="X16" s="209" t="str">
        <f>IF(NOT(ISERROR(VLOOKUP($U16,Calendário!$D$122:$F$131,2,FALSE))),VLOOKUP($U16,Calendário!$D$122:$F$131,2,FALSE),IF(NOT(ISERROR(VLOOKUP($U16,Calendário!$H$122:$J$131,2,FALSE))),VLOOKUP($U16,Calendário!$H$122:$J$131,2,FALSE),IF(NOT(ISERROR(VLOOKUP($U16,Calendário!$L$122:$N$131,2,FALSE))),VLOOKUP($U16,Calendário!$L$122:$N$131,2,FALSE),IF(NOT(ISERROR(VLOOKUP($U16,Calendário!$P$122:$R$131,2,FALSE))),VLOOKUP($U16,Calendário!$P$122:$R$131,2,FALSE),IF(NOT(ISERROR(VLOOKUP($U16,Calendário!$T$122:$V$131,2,FALSE))),VLOOKUP($U16,Calendário!$T$122:$V$131,2,FALSE),"--")))))</f>
        <v>14h30</v>
      </c>
      <c r="Y16" t="str">
        <f>IF(NOT(ISERROR(VLOOKUP($U16,Calendário!$X$7:$Z$51,2,FALSE))),VLOOKUP($U16,Calendário!$X$7:$Z$51,2,FALSE),"--")</f>
        <v>--</v>
      </c>
    </row>
    <row r="17" spans="2:25" ht="15" x14ac:dyDescent="0.2">
      <c r="B17" s="215" t="s">
        <v>20</v>
      </c>
      <c r="C17" s="253">
        <f t="shared" si="0"/>
        <v>42786</v>
      </c>
      <c r="D17" s="251" t="str">
        <f t="shared" si="1"/>
        <v>14h30</v>
      </c>
      <c r="E17" s="254"/>
      <c r="F17" s="239" t="s">
        <v>125</v>
      </c>
      <c r="G17" s="148" t="e">
        <f>IF(#REF!&lt;&gt;"--",#REF!,#REF!)</f>
        <v>#REF!</v>
      </c>
      <c r="H17" s="39" t="e">
        <f>IF(#REF!&lt;&gt;"--",#REF!,#REF!)</f>
        <v>#REF!</v>
      </c>
      <c r="I17" s="115"/>
      <c r="J17" s="115" t="s">
        <v>60</v>
      </c>
      <c r="K17" s="148" t="e">
        <f>IF(#REF!&lt;&gt;"--",#REF!,#REF!)</f>
        <v>#REF!</v>
      </c>
      <c r="L17" s="39" t="e">
        <f>IF(#REF!&lt;&gt;"--",#REF!,#REF!)</f>
        <v>#REF!</v>
      </c>
      <c r="M17" s="116">
        <v>139</v>
      </c>
      <c r="N17" s="115" t="s">
        <v>125</v>
      </c>
      <c r="O17" s="148" t="e">
        <f>IF(#REF!&lt;&gt;"--",#REF!,#REF!)</f>
        <v>#REF!</v>
      </c>
      <c r="P17" s="39" t="e">
        <f>IF(#REF!&lt;&gt;"--",#REF!,#REF!)</f>
        <v>#REF!</v>
      </c>
      <c r="Q17" s="116">
        <v>139</v>
      </c>
      <c r="R17" s="115" t="s">
        <v>125</v>
      </c>
      <c r="S17" s="140"/>
      <c r="U17" s="57" t="s">
        <v>69</v>
      </c>
      <c r="V17" s="209">
        <f>IF(NOT(ISERROR(VLOOKUP($U17,Calendário!$D$122:$F$131,3,FALSE))),VLOOKUP($U17,Calendário!$D$122:$F$131,3,FALSE),IF(NOT(ISERROR(VLOOKUP($U17,Calendário!$H$122:$J$131,3,FALSE))),VLOOKUP($U17,Calendário!$H$122:$J$131,3,FALSE),IF(NOT(ISERROR(VLOOKUP($U17,Calendário!$L$122:$N$131,3,FALSE))),VLOOKUP($U17,Calendário!$L$122:$N$131,3,FALSE),IF(NOT(ISERROR(VLOOKUP($U17,Calendário!$P$122:$R$131,3,FALSE))),VLOOKUP($U17,Calendário!$P$122:$R$131,3,FALSE),IF(NOT(ISERROR(VLOOKUP($U17,Calendário!$T$122:$V$131,3,FALSE))),VLOOKUP($U17,Calendário!$T$122:$V$131,3,FALSE),"--")))))</f>
        <v>42786</v>
      </c>
      <c r="W17" t="str">
        <f>IF(NOT(ISERROR(VLOOKUP($U17,Calendário!$X$122:$Z$131,3,FALSE))),VLOOKUP($U17,Calendário!$X$122:$Z$131,3,FALSE),"--")</f>
        <v>--</v>
      </c>
      <c r="X17" s="209" t="str">
        <f>IF(NOT(ISERROR(VLOOKUP($U17,Calendário!$D$122:$F$131,2,FALSE))),VLOOKUP($U17,Calendário!$D$122:$F$131,2,FALSE),IF(NOT(ISERROR(VLOOKUP($U17,Calendário!$H$122:$J$131,2,FALSE))),VLOOKUP($U17,Calendário!$H$122:$J$131,2,FALSE),IF(NOT(ISERROR(VLOOKUP($U17,Calendário!$L$122:$N$131,2,FALSE))),VLOOKUP($U17,Calendário!$L$122:$N$131,2,FALSE),IF(NOT(ISERROR(VLOOKUP($U17,Calendário!$P$122:$R$131,2,FALSE))),VLOOKUP($U17,Calendário!$P$122:$R$131,2,FALSE),IF(NOT(ISERROR(VLOOKUP($U17,Calendário!$T$122:$V$131,2,FALSE))),VLOOKUP($U17,Calendário!$T$122:$V$131,2,FALSE),"--")))))</f>
        <v>14h30</v>
      </c>
      <c r="Y17" t="str">
        <f>IF(NOT(ISERROR(VLOOKUP($U17,Calendário!$X$7:$Z$51,2,FALSE))),VLOOKUP($U17,Calendário!$X$7:$Z$51,2,FALSE),"--")</f>
        <v>--</v>
      </c>
    </row>
    <row r="18" spans="2:25" ht="15" hidden="1" customHeight="1" x14ac:dyDescent="0.2">
      <c r="B18" s="194"/>
      <c r="C18" s="255" t="str">
        <f t="shared" si="0"/>
        <v>--</v>
      </c>
      <c r="D18" s="256" t="e">
        <f>IF(#REF!&lt;&gt;"--",#REF!,#REF!)</f>
        <v>#REF!</v>
      </c>
      <c r="E18" s="257"/>
      <c r="F18" s="240"/>
      <c r="G18" s="195" t="e">
        <f>IF(#REF!&lt;&gt;"--",#REF!,#REF!)</f>
        <v>#REF!</v>
      </c>
      <c r="H18" s="196" t="e">
        <f>IF(#REF!&lt;&gt;"--",#REF!,#REF!)</f>
        <v>#REF!</v>
      </c>
      <c r="I18" s="227"/>
      <c r="J18" s="227"/>
      <c r="K18" s="195" t="e">
        <f>IF(#REF!&lt;&gt;"--",#REF!,#REF!)</f>
        <v>#REF!</v>
      </c>
      <c r="L18" s="196" t="e">
        <f>IF(#REF!&lt;&gt;"--",#REF!,#REF!)</f>
        <v>#REF!</v>
      </c>
      <c r="M18" s="197"/>
      <c r="N18" s="227"/>
      <c r="O18" s="195" t="e">
        <f>IF(#REF!&lt;&gt;"--",#REF!,#REF!)</f>
        <v>#REF!</v>
      </c>
      <c r="P18" s="196" t="e">
        <f>IF(#REF!&lt;&gt;"--",#REF!,#REF!)</f>
        <v>#REF!</v>
      </c>
      <c r="Q18" s="212"/>
      <c r="R18" s="227"/>
      <c r="S18" s="140"/>
      <c r="V18" s="209" t="str">
        <f>IF(NOT(ISERROR(VLOOKUP($U18,Calendário!$D$122:$F$131,3,FALSE))),VLOOKUP($U18,Calendário!$D$122:$F$131,3,FALSE),IF(NOT(ISERROR(VLOOKUP($U18,Calendário!$H$122:$J$131,3,FALSE))),VLOOKUP($U18,Calendário!$H$122:$J$131,3,FALSE),IF(NOT(ISERROR(VLOOKUP($U18,Calendário!$L$122:$N$131,3,FALSE))),VLOOKUP($U18,Calendário!$L$122:$N$131,3,FALSE),IF(NOT(ISERROR(VLOOKUP($U18,Calendário!$P$122:$R$131,3,FALSE))),VLOOKUP($U18,Calendário!$P$122:$R$131,3,FALSE),IF(NOT(ISERROR(VLOOKUP($U18,Calendário!$T$122:$V$131,3,FALSE))),VLOOKUP($U18,Calendário!$T$122:$V$131,3,FALSE),"--")))))</f>
        <v>--</v>
      </c>
      <c r="W18" t="str">
        <f>IF(NOT(ISERROR(VLOOKUP($U18,Calendário!$X$122:$Z$131,3,FALSE))),VLOOKUP($U18,Calendário!$X$122:$Z$131,3,FALSE),"--")</f>
        <v>--</v>
      </c>
      <c r="X18" s="209" t="str">
        <f>IF(NOT(ISERROR(VLOOKUP($U18,Calendário!$D$122:$F$131,2,FALSE))),VLOOKUP($U18,Calendário!$D$122:$F$131,2,FALSE),IF(NOT(ISERROR(VLOOKUP($U18,Calendário!$H$122:$J$131,2,FALSE))),VLOOKUP($U18,Calendário!$H$122:$J$131,2,FALSE),IF(NOT(ISERROR(VLOOKUP($U18,Calendário!$L$122:$N$131,2,FALSE))),VLOOKUP($U18,Calendário!$L$122:$N$131,2,FALSE),IF(NOT(ISERROR(VLOOKUP($U18,Calendário!$P$122:$R$131,2,FALSE))),VLOOKUP($U18,Calendário!$P$122:$R$131,2,FALSE),IF(NOT(ISERROR(VLOOKUP($U18,Calendário!$T$122:$V$131,2,FALSE))),VLOOKUP($U18,Calendário!$T$122:$V$131,2,FALSE),"--")))))</f>
        <v>--</v>
      </c>
      <c r="Y18" t="str">
        <f>IF(NOT(ISERROR(VLOOKUP($U18,Calendário!$X$7:$Z$51,2,FALSE))),VLOOKUP($U18,Calendário!$X$7:$Z$51,2,FALSE),"--")</f>
        <v>--</v>
      </c>
    </row>
    <row r="19" spans="2:25" ht="15" x14ac:dyDescent="0.2">
      <c r="B19" s="204" t="s">
        <v>46</v>
      </c>
      <c r="C19" s="241"/>
      <c r="D19" s="241"/>
      <c r="E19" s="258"/>
      <c r="F19" s="241"/>
      <c r="G19" s="207"/>
      <c r="H19" s="207"/>
      <c r="I19" s="207"/>
      <c r="J19" s="207"/>
      <c r="K19" s="207"/>
      <c r="L19" s="207"/>
      <c r="M19" s="207"/>
      <c r="N19" s="207"/>
      <c r="O19" s="207"/>
      <c r="P19" s="207"/>
      <c r="Q19" s="186"/>
      <c r="R19" s="207"/>
      <c r="S19" s="140"/>
      <c r="V19" s="209"/>
      <c r="X19" s="209"/>
    </row>
    <row r="20" spans="2:25" ht="15" x14ac:dyDescent="0.2">
      <c r="B20" s="198" t="s">
        <v>21</v>
      </c>
      <c r="C20" s="259">
        <f t="shared" ref="C20:C28" si="2">IF(V20&lt;&gt;"--",V20,W20)</f>
        <v>42786</v>
      </c>
      <c r="D20" s="251" t="str">
        <f>IF(X20&lt;&gt;"--",X20,Y20)</f>
        <v>16h</v>
      </c>
      <c r="E20" s="252"/>
      <c r="F20" s="242" t="s">
        <v>109</v>
      </c>
      <c r="G20" s="192" t="e">
        <f>IF(#REF!&lt;&gt;"--",#REF!,#REF!)</f>
        <v>#REF!</v>
      </c>
      <c r="H20" s="193" t="e">
        <f>IF(#REF!&lt;&gt;"--",#REF!,#REF!)</f>
        <v>#REF!</v>
      </c>
      <c r="I20" s="199" t="s">
        <v>160</v>
      </c>
      <c r="J20" s="191" t="s">
        <v>109</v>
      </c>
      <c r="K20" s="192" t="e">
        <f>IF(#REF!&lt;&gt;"--",#REF!,#REF!)</f>
        <v>#REF!</v>
      </c>
      <c r="L20" s="193" t="e">
        <f>IF(#REF!&lt;&gt;"--",#REF!,#REF!)</f>
        <v>#REF!</v>
      </c>
      <c r="M20" s="191">
        <v>133</v>
      </c>
      <c r="N20" s="191" t="s">
        <v>109</v>
      </c>
      <c r="O20" s="192" t="e">
        <f>IF(#REF!&lt;&gt;"--",#REF!,#REF!)</f>
        <v>#REF!</v>
      </c>
      <c r="P20" s="193" t="e">
        <f>IF(#REF!&lt;&gt;"--",#REF!,#REF!)</f>
        <v>#REF!</v>
      </c>
      <c r="Q20" s="191">
        <v>133</v>
      </c>
      <c r="R20" s="191" t="s">
        <v>109</v>
      </c>
      <c r="S20" s="140"/>
      <c r="U20" s="57" t="s">
        <v>62</v>
      </c>
      <c r="V20" s="209">
        <f>IF(NOT(ISERROR(VLOOKUP($U20,Calendário!$D$122:$F$131,3,FALSE))),VLOOKUP($U20,Calendário!$D$122:$F$131,3,FALSE),IF(NOT(ISERROR(VLOOKUP($U20,Calendário!$H$122:$J$131,3,FALSE))),VLOOKUP($U20,Calendário!$H$122:$J$131,3,FALSE),IF(NOT(ISERROR(VLOOKUP($U20,Calendário!$L$122:$N$131,3,FALSE))),VLOOKUP($U20,Calendário!$L$122:$N$131,3,FALSE),IF(NOT(ISERROR(VLOOKUP($U20,Calendário!$P$122:$R$131,3,FALSE))),VLOOKUP($U20,Calendário!$P$122:$R$131,3,FALSE),IF(NOT(ISERROR(VLOOKUP($U20,Calendário!$T$122:$V$131,3,FALSE))),VLOOKUP($U20,Calendário!$T$122:$V$131,3,FALSE),"--")))))</f>
        <v>42786</v>
      </c>
      <c r="W20" t="str">
        <f>IF(NOT(ISERROR(VLOOKUP($U20,Calendário!$X$122:$Z$131,3,FALSE))),VLOOKUP($U20,Calendário!$X$122:$Z$131,3,FALSE),"--")</f>
        <v>--</v>
      </c>
      <c r="X20" s="209" t="str">
        <f>IF(NOT(ISERROR(VLOOKUP($U20,Calendário!$D$122:$F$131,2,FALSE))),VLOOKUP($U20,Calendário!$D$122:$F$131,2,FALSE),IF(NOT(ISERROR(VLOOKUP($U20,Calendário!$H$122:$J$131,2,FALSE))),VLOOKUP($U20,Calendário!$H$122:$J$131,2,FALSE),IF(NOT(ISERROR(VLOOKUP($U20,Calendário!$L$122:$N$131,2,FALSE))),VLOOKUP($U20,Calendário!$L$122:$N$131,2,FALSE),IF(NOT(ISERROR(VLOOKUP($U20,Calendário!$P$122:$R$131,2,FALSE))),VLOOKUP($U20,Calendário!$P$122:$R$131,2,FALSE),IF(NOT(ISERROR(VLOOKUP($U20,Calendário!$T$122:$V$131,2,FALSE))),VLOOKUP($U20,Calendário!$T$122:$V$131,2,FALSE),"--")))))</f>
        <v>16h</v>
      </c>
      <c r="Y20" t="str">
        <f>IF(NOT(ISERROR(VLOOKUP($U20,Calendário!$X$7:$Z$51,2,FALSE))),VLOOKUP($U20,Calendário!$X$7:$Z$51,2,FALSE),"--")</f>
        <v>--</v>
      </c>
    </row>
    <row r="21" spans="2:25" ht="15" x14ac:dyDescent="0.2">
      <c r="B21" s="149" t="s">
        <v>22</v>
      </c>
      <c r="C21" s="253">
        <f t="shared" si="2"/>
        <v>42797</v>
      </c>
      <c r="D21" s="251" t="str">
        <f t="shared" ref="D21:D29" si="3">IF(X21&lt;&gt;"--",X21,Y21)</f>
        <v>14h30</v>
      </c>
      <c r="E21" s="254"/>
      <c r="F21" s="239" t="s">
        <v>103</v>
      </c>
      <c r="G21" s="148" t="e">
        <f>IF(#REF!&lt;&gt;"--",#REF!,#REF!)</f>
        <v>#REF!</v>
      </c>
      <c r="H21" s="39" t="e">
        <f>IF(#REF!&lt;&gt;"--",#REF!,#REF!)</f>
        <v>#REF!</v>
      </c>
      <c r="I21" s="116" t="s">
        <v>160</v>
      </c>
      <c r="J21" s="115" t="s">
        <v>103</v>
      </c>
      <c r="K21" s="148" t="e">
        <f>IF(#REF!&lt;&gt;"--",#REF!,#REF!)</f>
        <v>#REF!</v>
      </c>
      <c r="L21" s="39" t="e">
        <f>IF(#REF!&lt;&gt;"--",#REF!,#REF!)</f>
        <v>#REF!</v>
      </c>
      <c r="M21" s="116">
        <v>133</v>
      </c>
      <c r="N21" s="115" t="s">
        <v>103</v>
      </c>
      <c r="O21" s="148" t="e">
        <f>IF(#REF!&lt;&gt;"--",#REF!,#REF!)</f>
        <v>#REF!</v>
      </c>
      <c r="P21" s="39" t="e">
        <f>IF(#REF!&lt;&gt;"--",#REF!,#REF!)</f>
        <v>#REF!</v>
      </c>
      <c r="Q21" s="116">
        <v>133</v>
      </c>
      <c r="R21" s="115" t="s">
        <v>103</v>
      </c>
      <c r="S21" s="140"/>
      <c r="U21" s="57" t="s">
        <v>81</v>
      </c>
      <c r="V21" s="209">
        <f>IF(NOT(ISERROR(VLOOKUP($U21,Calendário!$D$122:$F$131,3,FALSE))),VLOOKUP($U21,Calendário!$D$122:$F$131,3,FALSE),IF(NOT(ISERROR(VLOOKUP($U21,Calendário!$H$122:$J$131,3,FALSE))),VLOOKUP($U21,Calendário!$H$122:$J$131,3,FALSE),IF(NOT(ISERROR(VLOOKUP($U21,Calendário!$L$122:$N$131,3,FALSE))),VLOOKUP($U21,Calendário!$L$122:$N$131,3,FALSE),IF(NOT(ISERROR(VLOOKUP($U21,Calendário!$P$122:$R$131,3,FALSE))),VLOOKUP($U21,Calendário!$P$122:$R$131,3,FALSE),IF(NOT(ISERROR(VLOOKUP($U21,Calendário!$T$122:$V$131,3,FALSE))),VLOOKUP($U21,Calendário!$T$122:$V$131,3,FALSE),"--")))))</f>
        <v>42797</v>
      </c>
      <c r="W21" t="str">
        <f>IF(NOT(ISERROR(VLOOKUP($U21,Calendário!$X$122:$Z$131,3,FALSE))),VLOOKUP($U21,Calendário!$X$122:$Z$131,3,FALSE),"--")</f>
        <v>--</v>
      </c>
      <c r="X21" s="209" t="str">
        <f>IF(NOT(ISERROR(VLOOKUP($U21,Calendário!$D$122:$F$131,2,FALSE))),VLOOKUP($U21,Calendário!$D$122:$F$131,2,FALSE),IF(NOT(ISERROR(VLOOKUP($U21,Calendário!$H$122:$J$131,2,FALSE))),VLOOKUP($U21,Calendário!$H$122:$J$131,2,FALSE),IF(NOT(ISERROR(VLOOKUP($U21,Calendário!$L$122:$N$131,2,FALSE))),VLOOKUP($U21,Calendário!$L$122:$N$131,2,FALSE),IF(NOT(ISERROR(VLOOKUP($U21,Calendário!$P$122:$R$131,2,FALSE))),VLOOKUP($U21,Calendário!$P$122:$R$131,2,FALSE),IF(NOT(ISERROR(VLOOKUP($U21,Calendário!$T$122:$V$131,2,FALSE))),VLOOKUP($U21,Calendário!$T$122:$V$131,2,FALSE),"--")))))</f>
        <v>14h30</v>
      </c>
      <c r="Y21" t="str">
        <f>IF(NOT(ISERROR(VLOOKUP($U21,Calendário!$X$7:$Z$51,2,FALSE))),VLOOKUP($U21,Calendário!$X$7:$Z$51,2,FALSE),"--")</f>
        <v>--</v>
      </c>
    </row>
    <row r="22" spans="2:25" ht="15" x14ac:dyDescent="0.2">
      <c r="B22" s="149" t="s">
        <v>23</v>
      </c>
      <c r="C22" s="253">
        <f t="shared" si="2"/>
        <v>42790</v>
      </c>
      <c r="D22" s="251" t="str">
        <f t="shared" si="3"/>
        <v>14h30</v>
      </c>
      <c r="E22" s="254"/>
      <c r="F22" s="239" t="s">
        <v>99</v>
      </c>
      <c r="G22" s="148" t="e">
        <f>IF(#REF!&lt;&gt;"--",#REF!,#REF!)</f>
        <v>#REF!</v>
      </c>
      <c r="H22" s="39" t="e">
        <f>IF(#REF!&lt;&gt;"--",#REF!,#REF!)</f>
        <v>#REF!</v>
      </c>
      <c r="I22" s="111" t="s">
        <v>159</v>
      </c>
      <c r="J22" s="68" t="s">
        <v>99</v>
      </c>
      <c r="K22" s="148" t="e">
        <f>IF(#REF!&lt;&gt;"--",#REF!,#REF!)</f>
        <v>#REF!</v>
      </c>
      <c r="L22" s="39" t="e">
        <f>IF(#REF!&lt;&gt;"--",#REF!,#REF!)</f>
        <v>#REF!</v>
      </c>
      <c r="M22" s="116">
        <v>133</v>
      </c>
      <c r="N22" s="68" t="s">
        <v>99</v>
      </c>
      <c r="O22" s="148" t="e">
        <f>IF(#REF!&lt;&gt;"--",#REF!,#REF!)</f>
        <v>#REF!</v>
      </c>
      <c r="P22" s="39" t="e">
        <f>IF(#REF!&lt;&gt;"--",#REF!,#REF!)</f>
        <v>#REF!</v>
      </c>
      <c r="Q22" s="116">
        <v>133</v>
      </c>
      <c r="R22" s="68" t="s">
        <v>99</v>
      </c>
      <c r="S22" s="140"/>
      <c r="U22" s="57" t="s">
        <v>67</v>
      </c>
      <c r="V22" s="209">
        <f>IF(NOT(ISERROR(VLOOKUP($U22,Calendário!$D$122:$F$131,3,FALSE))),VLOOKUP($U22,Calendário!$D$122:$F$131,3,FALSE),IF(NOT(ISERROR(VLOOKUP($U22,Calendário!$H$122:$J$131,3,FALSE))),VLOOKUP($U22,Calendário!$H$122:$J$131,3,FALSE),IF(NOT(ISERROR(VLOOKUP($U22,Calendário!$L$122:$N$131,3,FALSE))),VLOOKUP($U22,Calendário!$L$122:$N$131,3,FALSE),IF(NOT(ISERROR(VLOOKUP($U22,Calendário!$P$122:$R$131,3,FALSE))),VLOOKUP($U22,Calendário!$P$122:$R$131,3,FALSE),IF(NOT(ISERROR(VLOOKUP($U22,Calendário!$T$122:$V$131,3,FALSE))),VLOOKUP($U22,Calendário!$T$122:$V$131,3,FALSE),"--")))))</f>
        <v>42790</v>
      </c>
      <c r="W22" t="str">
        <f>IF(NOT(ISERROR(VLOOKUP($U22,Calendário!$X$122:$Z$131,3,FALSE))),VLOOKUP($U22,Calendário!$X$122:$Z$131,3,FALSE),"--")</f>
        <v>--</v>
      </c>
      <c r="X22" s="209" t="str">
        <f>IF(NOT(ISERROR(VLOOKUP($U22,Calendário!$D$122:$F$131,2,FALSE))),VLOOKUP($U22,Calendário!$D$122:$F$131,2,FALSE),IF(NOT(ISERROR(VLOOKUP($U22,Calendário!$H$122:$J$131,2,FALSE))),VLOOKUP($U22,Calendário!$H$122:$J$131,2,FALSE),IF(NOT(ISERROR(VLOOKUP($U22,Calendário!$L$122:$N$131,2,FALSE))),VLOOKUP($U22,Calendário!$L$122:$N$131,2,FALSE),IF(NOT(ISERROR(VLOOKUP($U22,Calendário!$P$122:$R$131,2,FALSE))),VLOOKUP($U22,Calendário!$P$122:$R$131,2,FALSE),IF(NOT(ISERROR(VLOOKUP($U22,Calendário!$T$122:$V$131,2,FALSE))),VLOOKUP($U22,Calendário!$T$122:$V$131,2,FALSE),"--")))))</f>
        <v>14h30</v>
      </c>
      <c r="Y22" t="str">
        <f>IF(NOT(ISERROR(VLOOKUP($U22,Calendário!$X$7:$Z$51,2,FALSE))),VLOOKUP($U22,Calendário!$X$7:$Z$51,2,FALSE),"--")</f>
        <v>--</v>
      </c>
    </row>
    <row r="23" spans="2:25" ht="15" x14ac:dyDescent="0.2">
      <c r="B23" s="149" t="s">
        <v>24</v>
      </c>
      <c r="C23" s="253">
        <f t="shared" si="2"/>
        <v>42793</v>
      </c>
      <c r="D23" s="251" t="str">
        <f t="shared" si="3"/>
        <v>14h30</v>
      </c>
      <c r="E23" s="254"/>
      <c r="F23" s="238" t="s">
        <v>95</v>
      </c>
      <c r="G23" s="148" t="e">
        <f>IF(#REF!&lt;&gt;"--",#REF!,#REF!)</f>
        <v>#REF!</v>
      </c>
      <c r="H23" s="39" t="e">
        <f>IF(#REF!&lt;&gt;"--",#REF!,#REF!)</f>
        <v>#REF!</v>
      </c>
      <c r="I23" s="116" t="s">
        <v>159</v>
      </c>
      <c r="J23" s="116" t="s">
        <v>95</v>
      </c>
      <c r="K23" s="148" t="e">
        <f>IF(#REF!&lt;&gt;"--",#REF!,#REF!)</f>
        <v>#REF!</v>
      </c>
      <c r="L23" s="39" t="e">
        <f>IF(#REF!&lt;&gt;"--",#REF!,#REF!)</f>
        <v>#REF!</v>
      </c>
      <c r="M23" s="66">
        <v>133</v>
      </c>
      <c r="N23" s="116" t="s">
        <v>95</v>
      </c>
      <c r="O23" s="148" t="e">
        <f>IF(#REF!&lt;&gt;"--",#REF!,#REF!)</f>
        <v>#REF!</v>
      </c>
      <c r="P23" s="39" t="e">
        <f>IF(#REF!&lt;&gt;"--",#REF!,#REF!)</f>
        <v>#REF!</v>
      </c>
      <c r="Q23" s="66">
        <v>133</v>
      </c>
      <c r="R23" s="116" t="s">
        <v>95</v>
      </c>
      <c r="S23" s="140"/>
      <c r="U23" s="57" t="s">
        <v>65</v>
      </c>
      <c r="V23" s="209">
        <f>IF(NOT(ISERROR(VLOOKUP($U23,Calendário!$D$122:$F$131,3,FALSE))),VLOOKUP($U23,Calendário!$D$122:$F$131,3,FALSE),IF(NOT(ISERROR(VLOOKUP($U23,Calendário!$H$122:$J$131,3,FALSE))),VLOOKUP($U23,Calendário!$H$122:$J$131,3,FALSE),IF(NOT(ISERROR(VLOOKUP($U23,Calendário!$L$122:$N$131,3,FALSE))),VLOOKUP($U23,Calendário!$L$122:$N$131,3,FALSE),IF(NOT(ISERROR(VLOOKUP($U23,Calendário!$P$122:$R$131,3,FALSE))),VLOOKUP($U23,Calendário!$P$122:$R$131,3,FALSE),IF(NOT(ISERROR(VLOOKUP($U23,Calendário!$T$122:$V$131,3,FALSE))),VLOOKUP($U23,Calendário!$T$122:$V$131,3,FALSE),"--")))))</f>
        <v>42793</v>
      </c>
      <c r="W23" t="str">
        <f>IF(NOT(ISERROR(VLOOKUP($U23,Calendário!$X$122:$Z$131,3,FALSE))),VLOOKUP($U23,Calendário!$X$122:$Z$131,3,FALSE),"--")</f>
        <v>--</v>
      </c>
      <c r="X23" s="209" t="str">
        <f>IF(NOT(ISERROR(VLOOKUP($U23,Calendário!$D$122:$F$131,2,FALSE))),VLOOKUP($U23,Calendário!$D$122:$F$131,2,FALSE),IF(NOT(ISERROR(VLOOKUP($U23,Calendário!$H$122:$J$131,2,FALSE))),VLOOKUP($U23,Calendário!$H$122:$J$131,2,FALSE),IF(NOT(ISERROR(VLOOKUP($U23,Calendário!$L$122:$N$131,2,FALSE))),VLOOKUP($U23,Calendário!$L$122:$N$131,2,FALSE),IF(NOT(ISERROR(VLOOKUP($U23,Calendário!$P$122:$R$131,2,FALSE))),VLOOKUP($U23,Calendário!$P$122:$R$131,2,FALSE),IF(NOT(ISERROR(VLOOKUP($U23,Calendário!$T$122:$V$131,2,FALSE))),VLOOKUP($U23,Calendário!$T$122:$V$131,2,FALSE),"--")))))</f>
        <v>14h30</v>
      </c>
      <c r="Y23" t="str">
        <f>IF(NOT(ISERROR(VLOOKUP($U23,Calendário!$X$7:$Z$51,2,FALSE))),VLOOKUP($U23,Calendário!$X$7:$Z$51,2,FALSE),"--")</f>
        <v>--</v>
      </c>
    </row>
    <row r="24" spans="2:25" ht="15" x14ac:dyDescent="0.2">
      <c r="B24" s="149" t="s">
        <v>25</v>
      </c>
      <c r="C24" s="253">
        <f t="shared" si="2"/>
        <v>42795</v>
      </c>
      <c r="D24" s="251" t="str">
        <f t="shared" si="3"/>
        <v>14h30</v>
      </c>
      <c r="E24" s="254"/>
      <c r="F24" s="238" t="s">
        <v>110</v>
      </c>
      <c r="G24" s="148" t="e">
        <f>IF(#REF!&lt;&gt;"--",#REF!,#REF!)</f>
        <v>#REF!</v>
      </c>
      <c r="H24" s="39" t="e">
        <f>IF(#REF!&lt;&gt;"--",#REF!,#REF!)</f>
        <v>#REF!</v>
      </c>
      <c r="I24" s="115" t="s">
        <v>171</v>
      </c>
      <c r="J24" s="116" t="s">
        <v>110</v>
      </c>
      <c r="K24" s="148" t="e">
        <f>IF(#REF!&lt;&gt;"--",#REF!,#REF!)</f>
        <v>#REF!</v>
      </c>
      <c r="L24" s="39" t="e">
        <f>IF(#REF!&lt;&gt;"--",#REF!,#REF!)</f>
        <v>#REF!</v>
      </c>
      <c r="M24" s="116">
        <v>133</v>
      </c>
      <c r="N24" s="116" t="s">
        <v>110</v>
      </c>
      <c r="O24" s="148" t="e">
        <f>IF(#REF!&lt;&gt;"--",#REF!,#REF!)</f>
        <v>#REF!</v>
      </c>
      <c r="P24" s="39" t="e">
        <f>IF(#REF!&lt;&gt;"--",#REF!,#REF!)</f>
        <v>#REF!</v>
      </c>
      <c r="Q24" s="116">
        <v>133</v>
      </c>
      <c r="R24" s="116" t="s">
        <v>110</v>
      </c>
      <c r="S24" s="140"/>
      <c r="U24" s="57" t="s">
        <v>75</v>
      </c>
      <c r="V24" s="209">
        <f>IF(NOT(ISERROR(VLOOKUP($U24,Calendário!$D$122:$F$131,3,FALSE))),VLOOKUP($U24,Calendário!$D$122:$F$131,3,FALSE),IF(NOT(ISERROR(VLOOKUP($U24,Calendário!$H$122:$J$131,3,FALSE))),VLOOKUP($U24,Calendário!$H$122:$J$131,3,FALSE),IF(NOT(ISERROR(VLOOKUP($U24,Calendário!$L$122:$N$131,3,FALSE))),VLOOKUP($U24,Calendário!$L$122:$N$131,3,FALSE),IF(NOT(ISERROR(VLOOKUP($U24,Calendário!$P$122:$R$131,3,FALSE))),VLOOKUP($U24,Calendário!$P$122:$R$131,3,FALSE),IF(NOT(ISERROR(VLOOKUP($U24,Calendário!$T$122:$V$131,3,FALSE))),VLOOKUP($U24,Calendário!$T$122:$V$131,3,FALSE),"--")))))</f>
        <v>42795</v>
      </c>
      <c r="W24" t="str">
        <f>IF(NOT(ISERROR(VLOOKUP($U24,Calendário!$X$122:$Z$131,3,FALSE))),VLOOKUP($U24,Calendário!$X$122:$Z$131,3,FALSE),"--")</f>
        <v>--</v>
      </c>
      <c r="X24" s="209" t="str">
        <f>IF(NOT(ISERROR(VLOOKUP($U24,Calendário!$D$122:$F$131,2,FALSE))),VLOOKUP($U24,Calendário!$D$122:$F$131,2,FALSE),IF(NOT(ISERROR(VLOOKUP($U24,Calendário!$H$122:$J$131,2,FALSE))),VLOOKUP($U24,Calendário!$H$122:$J$131,2,FALSE),IF(NOT(ISERROR(VLOOKUP($U24,Calendário!$L$122:$N$131,2,FALSE))),VLOOKUP($U24,Calendário!$L$122:$N$131,2,FALSE),IF(NOT(ISERROR(VLOOKUP($U24,Calendário!$P$122:$R$131,2,FALSE))),VLOOKUP($U24,Calendário!$P$122:$R$131,2,FALSE),IF(NOT(ISERROR(VLOOKUP($U24,Calendário!$T$122:$V$131,2,FALSE))),VLOOKUP($U24,Calendário!$T$122:$V$131,2,FALSE),"--")))))</f>
        <v>14h30</v>
      </c>
      <c r="Y24" t="str">
        <f>IF(NOT(ISERROR(VLOOKUP($U24,Calendário!$X$7:$Z$51,2,FALSE))),VLOOKUP($U24,Calendário!$X$7:$Z$51,2,FALSE),"--")</f>
        <v>--</v>
      </c>
    </row>
    <row r="25" spans="2:25" ht="15" x14ac:dyDescent="0.2">
      <c r="B25" s="184" t="s">
        <v>26</v>
      </c>
      <c r="C25" s="253">
        <f t="shared" si="2"/>
        <v>42788</v>
      </c>
      <c r="D25" s="251" t="str">
        <f t="shared" si="3"/>
        <v>14h30</v>
      </c>
      <c r="E25" s="254"/>
      <c r="F25" s="238" t="s">
        <v>144</v>
      </c>
      <c r="G25" s="148" t="e">
        <f>IF(#REF!&lt;&gt;"--",#REF!,#REF!)</f>
        <v>#REF!</v>
      </c>
      <c r="H25" s="39" t="e">
        <f>IF(#REF!&lt;&gt;"--",#REF!,#REF!)</f>
        <v>#REF!</v>
      </c>
      <c r="I25" s="115" t="s">
        <v>160</v>
      </c>
      <c r="J25" s="116" t="s">
        <v>144</v>
      </c>
      <c r="K25" s="148" t="e">
        <f>IF(#REF!&lt;&gt;"--",#REF!,#REF!)</f>
        <v>#REF!</v>
      </c>
      <c r="L25" s="39" t="e">
        <f>IF(#REF!&lt;&gt;"--",#REF!,#REF!)</f>
        <v>#REF!</v>
      </c>
      <c r="M25" s="66">
        <v>133</v>
      </c>
      <c r="N25" s="116" t="s">
        <v>144</v>
      </c>
      <c r="O25" s="148" t="e">
        <f>IF(#REF!&lt;&gt;"--",#REF!,#REF!)</f>
        <v>#REF!</v>
      </c>
      <c r="P25" s="39" t="e">
        <f>IF(#REF!&lt;&gt;"--",#REF!,#REF!)</f>
        <v>#REF!</v>
      </c>
      <c r="Q25" s="66">
        <v>133</v>
      </c>
      <c r="R25" s="116" t="s">
        <v>144</v>
      </c>
      <c r="S25" s="140"/>
      <c r="U25" s="57" t="s">
        <v>76</v>
      </c>
      <c r="V25" s="209">
        <f>IF(NOT(ISERROR(VLOOKUP($U25,Calendário!$D$122:$F$131,3,FALSE))),VLOOKUP($U25,Calendário!$D$122:$F$131,3,FALSE),IF(NOT(ISERROR(VLOOKUP($U25,Calendário!$H$122:$J$131,3,FALSE))),VLOOKUP($U25,Calendário!$H$122:$J$131,3,FALSE),IF(NOT(ISERROR(VLOOKUP($U25,Calendário!$L$122:$N$131,3,FALSE))),VLOOKUP($U25,Calendário!$L$122:$N$131,3,FALSE),IF(NOT(ISERROR(VLOOKUP($U25,Calendário!$P$122:$R$131,3,FALSE))),VLOOKUP($U25,Calendário!$P$122:$R$131,3,FALSE),IF(NOT(ISERROR(VLOOKUP($U25,Calendário!$T$122:$V$131,3,FALSE))),VLOOKUP($U25,Calendário!$T$122:$V$131,3,FALSE),"--")))))</f>
        <v>42788</v>
      </c>
      <c r="W25" t="str">
        <f>IF(NOT(ISERROR(VLOOKUP($U25,Calendário!$X$122:$Z$131,3,FALSE))),VLOOKUP($U25,Calendário!$X$122:$Z$131,3,FALSE),"--")</f>
        <v>--</v>
      </c>
      <c r="X25" s="209" t="str">
        <f>IF(NOT(ISERROR(VLOOKUP($U25,Calendário!$D$122:$F$131,2,FALSE))),VLOOKUP($U25,Calendário!$D$122:$F$131,2,FALSE),IF(NOT(ISERROR(VLOOKUP($U25,Calendário!$H$122:$J$131,2,FALSE))),VLOOKUP($U25,Calendário!$H$122:$J$131,2,FALSE),IF(NOT(ISERROR(VLOOKUP($U25,Calendário!$L$122:$N$131,2,FALSE))),VLOOKUP($U25,Calendário!$L$122:$N$131,2,FALSE),IF(NOT(ISERROR(VLOOKUP($U25,Calendário!$P$122:$R$131,2,FALSE))),VLOOKUP($U25,Calendário!$P$122:$R$131,2,FALSE),IF(NOT(ISERROR(VLOOKUP($U25,Calendário!$T$122:$V$131,2,FALSE))),VLOOKUP($U25,Calendário!$T$122:$V$131,2,FALSE),"--")))))</f>
        <v>14h30</v>
      </c>
      <c r="Y25" t="str">
        <f>IF(NOT(ISERROR(VLOOKUP($U25,Calendário!$X$7:$Z$51,2,FALSE))),VLOOKUP($U25,Calendário!$X$7:$Z$51,2,FALSE),"--")</f>
        <v>--</v>
      </c>
    </row>
    <row r="26" spans="2:25" ht="15" x14ac:dyDescent="0.2">
      <c r="B26" s="149" t="s">
        <v>27</v>
      </c>
      <c r="C26" s="253">
        <f t="shared" si="2"/>
        <v>42788</v>
      </c>
      <c r="D26" s="251" t="str">
        <f t="shared" si="3"/>
        <v>14h30</v>
      </c>
      <c r="E26" s="254"/>
      <c r="F26" s="238" t="s">
        <v>97</v>
      </c>
      <c r="G26" s="148" t="e">
        <f>IF(#REF!&lt;&gt;"--",#REF!,#REF!)</f>
        <v>#REF!</v>
      </c>
      <c r="H26" s="39" t="e">
        <f>IF(#REF!&lt;&gt;"--",#REF!,#REF!)</f>
        <v>#REF!</v>
      </c>
      <c r="I26" s="115" t="s">
        <v>160</v>
      </c>
      <c r="J26" s="116" t="s">
        <v>97</v>
      </c>
      <c r="K26" s="148" t="e">
        <f>IF(#REF!&lt;&gt;"--",#REF!,#REF!)</f>
        <v>#REF!</v>
      </c>
      <c r="L26" s="39" t="e">
        <f>IF(#REF!&lt;&gt;"--",#REF!,#REF!)</f>
        <v>#REF!</v>
      </c>
      <c r="M26" s="66">
        <v>162</v>
      </c>
      <c r="N26" s="116" t="s">
        <v>97</v>
      </c>
      <c r="O26" s="148" t="e">
        <f>IF(#REF!&lt;&gt;"--",#REF!,#REF!)</f>
        <v>#REF!</v>
      </c>
      <c r="P26" s="39" t="e">
        <f>IF(#REF!&lt;&gt;"--",#REF!,#REF!)</f>
        <v>#REF!</v>
      </c>
      <c r="Q26" s="66">
        <v>162</v>
      </c>
      <c r="R26" s="116" t="s">
        <v>97</v>
      </c>
      <c r="S26" s="140"/>
      <c r="U26" s="57" t="s">
        <v>82</v>
      </c>
      <c r="V26" s="209">
        <f>IF(NOT(ISERROR(VLOOKUP($U26,Calendário!$D$122:$F$131,3,FALSE))),VLOOKUP($U26,Calendário!$D$122:$F$131,3,FALSE),IF(NOT(ISERROR(VLOOKUP($U26,Calendário!$H$122:$J$131,3,FALSE))),VLOOKUP($U26,Calendário!$H$122:$J$131,3,FALSE),IF(NOT(ISERROR(VLOOKUP($U26,Calendário!$L$122:$N$131,3,FALSE))),VLOOKUP($U26,Calendário!$L$122:$N$131,3,FALSE),IF(NOT(ISERROR(VLOOKUP($U26,Calendário!$P$122:$R$131,3,FALSE))),VLOOKUP($U26,Calendário!$P$122:$R$131,3,FALSE),IF(NOT(ISERROR(VLOOKUP($U26,Calendário!$T$122:$V$131,3,FALSE))),VLOOKUP($U26,Calendário!$T$122:$V$131,3,FALSE),"--")))))</f>
        <v>42788</v>
      </c>
      <c r="W26" t="str">
        <f>IF(NOT(ISERROR(VLOOKUP($U26,Calendário!$X$122:$Z$131,3,FALSE))),VLOOKUP($U26,Calendário!$X$122:$Z$131,3,FALSE),"--")</f>
        <v>--</v>
      </c>
      <c r="X26" s="209" t="str">
        <f>IF(NOT(ISERROR(VLOOKUP($U26,Calendário!$D$122:$F$131,2,FALSE))),VLOOKUP($U26,Calendário!$D$122:$F$131,2,FALSE),IF(NOT(ISERROR(VLOOKUP($U26,Calendário!$H$122:$J$131,2,FALSE))),VLOOKUP($U26,Calendário!$H$122:$J$131,2,FALSE),IF(NOT(ISERROR(VLOOKUP($U26,Calendário!$L$122:$N$131,2,FALSE))),VLOOKUP($U26,Calendário!$L$122:$N$131,2,FALSE),IF(NOT(ISERROR(VLOOKUP($U26,Calendário!$P$122:$R$131,2,FALSE))),VLOOKUP($U26,Calendário!$P$122:$R$131,2,FALSE),IF(NOT(ISERROR(VLOOKUP($U26,Calendário!$T$122:$V$131,2,FALSE))),VLOOKUP($U26,Calendário!$T$122:$V$131,2,FALSE),"--")))))</f>
        <v>14h30</v>
      </c>
      <c r="Y26" t="str">
        <f>IF(NOT(ISERROR(VLOOKUP($U26,Calendário!$X$7:$Z$51,2,FALSE))),VLOOKUP($U26,Calendário!$X$7:$Z$51,2,FALSE),"--")</f>
        <v>--</v>
      </c>
    </row>
    <row r="27" spans="2:25" ht="15" hidden="1" customHeight="1" x14ac:dyDescent="0.2">
      <c r="B27" s="149"/>
      <c r="C27" s="253" t="str">
        <f t="shared" si="2"/>
        <v>--</v>
      </c>
      <c r="D27" s="251" t="str">
        <f t="shared" si="3"/>
        <v>--</v>
      </c>
      <c r="E27" s="260"/>
      <c r="F27" s="238"/>
      <c r="G27" s="148" t="e">
        <f>IF(#REF!&lt;&gt;"--",#REF!,#REF!)</f>
        <v>#REF!</v>
      </c>
      <c r="H27" s="39" t="e">
        <f>IF(#REF!&lt;&gt;"--",#REF!,#REF!)</f>
        <v>#REF!</v>
      </c>
      <c r="I27" s="66"/>
      <c r="J27" s="66"/>
      <c r="K27" s="148" t="e">
        <f>IF(#REF!&lt;&gt;"--",#REF!,#REF!)</f>
        <v>#REF!</v>
      </c>
      <c r="L27" s="39" t="e">
        <f>IF(#REF!&lt;&gt;"--",#REF!,#REF!)</f>
        <v>#REF!</v>
      </c>
      <c r="M27" s="66"/>
      <c r="N27" s="66"/>
      <c r="O27" s="148" t="e">
        <f>IF(#REF!&lt;&gt;"--",#REF!,#REF!)</f>
        <v>#REF!</v>
      </c>
      <c r="P27" s="39" t="e">
        <f>IF(#REF!&lt;&gt;"--",#REF!,#REF!)</f>
        <v>#REF!</v>
      </c>
      <c r="Q27" s="110"/>
      <c r="R27" s="66"/>
      <c r="S27" s="140"/>
      <c r="V27" s="209" t="str">
        <f>IF(NOT(ISERROR(VLOOKUP($U27,Calendário!$D$122:$F$131,3,FALSE))),VLOOKUP($U27,Calendário!$D$122:$F$131,3,FALSE),IF(NOT(ISERROR(VLOOKUP($U27,Calendário!$H$122:$J$131,3,FALSE))),VLOOKUP($U27,Calendário!$H$122:$J$131,3,FALSE),IF(NOT(ISERROR(VLOOKUP($U27,Calendário!$L$122:$N$131,3,FALSE))),VLOOKUP($U27,Calendário!$L$122:$N$131,3,FALSE),IF(NOT(ISERROR(VLOOKUP($U27,Calendário!$P$122:$R$131,3,FALSE))),VLOOKUP($U27,Calendário!$P$122:$R$131,3,FALSE),IF(NOT(ISERROR(VLOOKUP($U27,Calendário!$T$122:$V$131,3,FALSE))),VLOOKUP($U27,Calendário!$T$122:$V$131,3,FALSE),"--")))))</f>
        <v>--</v>
      </c>
      <c r="W27" t="str">
        <f>IF(NOT(ISERROR(VLOOKUP($U27,Calendário!$X$122:$Z$131,3,FALSE))),VLOOKUP($U27,Calendário!$X$122:$Z$131,3,FALSE),"--")</f>
        <v>--</v>
      </c>
      <c r="X27" s="209" t="str">
        <f>IF(NOT(ISERROR(VLOOKUP($U27,Calendário!$D$122:$F$131,2,FALSE))),VLOOKUP($U27,Calendário!$D$122:$F$131,2,FALSE),IF(NOT(ISERROR(VLOOKUP($U27,Calendário!$H$122:$J$131,2,FALSE))),VLOOKUP($U27,Calendário!$H$122:$J$131,2,FALSE),IF(NOT(ISERROR(VLOOKUP($U27,Calendário!$L$122:$N$131,2,FALSE))),VLOOKUP($U27,Calendário!$L$122:$N$131,2,FALSE),IF(NOT(ISERROR(VLOOKUP($U27,Calendário!$P$122:$R$131,2,FALSE))),VLOOKUP($U27,Calendário!$P$122:$R$131,2,FALSE),IF(NOT(ISERROR(VLOOKUP($U27,Calendário!$T$122:$V$131,2,FALSE))),VLOOKUP($U27,Calendário!$T$122:$V$131,2,FALSE),"--")))))</f>
        <v>--</v>
      </c>
      <c r="Y27" t="str">
        <f>IF(NOT(ISERROR(VLOOKUP($U27,Calendário!$X$7:$Z$51,2,FALSE))),VLOOKUP($U27,Calendário!$X$7:$Z$51,2,FALSE),"--")</f>
        <v>--</v>
      </c>
    </row>
    <row r="28" spans="2:25" ht="15" hidden="1" customHeight="1" x14ac:dyDescent="0.2">
      <c r="B28" s="149"/>
      <c r="C28" s="253" t="str">
        <f t="shared" si="2"/>
        <v>--</v>
      </c>
      <c r="D28" s="251" t="str">
        <f t="shared" si="3"/>
        <v>--</v>
      </c>
      <c r="E28" s="260"/>
      <c r="F28" s="239"/>
      <c r="G28" s="148" t="e">
        <f>IF(#REF!&lt;&gt;"--",#REF!,#REF!)</f>
        <v>#REF!</v>
      </c>
      <c r="H28" s="39" t="e">
        <f>IF(#REF!&lt;&gt;"--",#REF!,#REF!)</f>
        <v>#REF!</v>
      </c>
      <c r="I28" s="66"/>
      <c r="J28" s="66"/>
      <c r="K28" s="148" t="e">
        <f>IF(#REF!&lt;&gt;"--",#REF!,#REF!)</f>
        <v>#REF!</v>
      </c>
      <c r="L28" s="39" t="e">
        <f>IF(#REF!&lt;&gt;"--",#REF!,#REF!)</f>
        <v>#REF!</v>
      </c>
      <c r="M28" s="66"/>
      <c r="N28" s="66"/>
      <c r="O28" s="148" t="e">
        <f>IF(#REF!&lt;&gt;"--",#REF!,#REF!)</f>
        <v>#REF!</v>
      </c>
      <c r="P28" s="39" t="e">
        <f>IF(#REF!&lt;&gt;"--",#REF!,#REF!)</f>
        <v>#REF!</v>
      </c>
      <c r="Q28" s="110"/>
      <c r="R28" s="66"/>
      <c r="S28" s="140"/>
      <c r="V28" s="209" t="str">
        <f>IF(NOT(ISERROR(VLOOKUP($U28,Calendário!$D$122:$F$131,3,FALSE))),VLOOKUP($U28,Calendário!$D$122:$F$131,3,FALSE),IF(NOT(ISERROR(VLOOKUP($U28,Calendário!$H$122:$J$131,3,FALSE))),VLOOKUP($U28,Calendário!$H$122:$J$131,3,FALSE),IF(NOT(ISERROR(VLOOKUP($U28,Calendário!$L$122:$N$131,3,FALSE))),VLOOKUP($U28,Calendário!$L$122:$N$131,3,FALSE),IF(NOT(ISERROR(VLOOKUP($U28,Calendário!$P$122:$R$131,3,FALSE))),VLOOKUP($U28,Calendário!$P$122:$R$131,3,FALSE),IF(NOT(ISERROR(VLOOKUP($U28,Calendário!$T$122:$V$131,3,FALSE))),VLOOKUP($U28,Calendário!$T$122:$V$131,3,FALSE),"--")))))</f>
        <v>--</v>
      </c>
      <c r="W28" t="str">
        <f>IF(NOT(ISERROR(VLOOKUP($U28,Calendário!$X$122:$Z$131,3,FALSE))),VLOOKUP($U28,Calendário!$X$122:$Z$131,3,FALSE),"--")</f>
        <v>--</v>
      </c>
      <c r="X28" s="209" t="str">
        <f>IF(NOT(ISERROR(VLOOKUP($U28,Calendário!$D$122:$F$131,2,FALSE))),VLOOKUP($U28,Calendário!$D$122:$F$131,2,FALSE),IF(NOT(ISERROR(VLOOKUP($U28,Calendário!$H$122:$J$131,2,FALSE))),VLOOKUP($U28,Calendário!$H$122:$J$131,2,FALSE),IF(NOT(ISERROR(VLOOKUP($U28,Calendário!$L$122:$N$131,2,FALSE))),VLOOKUP($U28,Calendário!$L$122:$N$131,2,FALSE),IF(NOT(ISERROR(VLOOKUP($U28,Calendário!$P$122:$R$131,2,FALSE))),VLOOKUP($U28,Calendário!$P$122:$R$131,2,FALSE),IF(NOT(ISERROR(VLOOKUP($U28,Calendário!$T$122:$V$131,2,FALSE))),VLOOKUP($U28,Calendário!$T$122:$V$131,2,FALSE),"--")))))</f>
        <v>--</v>
      </c>
      <c r="Y28" t="str">
        <f>IF(NOT(ISERROR(VLOOKUP($U28,Calendário!$X$7:$Z$51,2,FALSE))),VLOOKUP($U28,Calendário!$X$7:$Z$51,2,FALSE),"--")</f>
        <v>--</v>
      </c>
    </row>
    <row r="29" spans="2:25" ht="15" hidden="1" customHeight="1" x14ac:dyDescent="0.2">
      <c r="B29" s="200"/>
      <c r="C29" s="255" t="str">
        <f>IF(V29&lt;&gt;"--",V29,W29)</f>
        <v>--</v>
      </c>
      <c r="D29" s="251" t="str">
        <f t="shared" si="3"/>
        <v>--</v>
      </c>
      <c r="E29" s="257"/>
      <c r="F29" s="243"/>
      <c r="G29" s="195" t="e">
        <f>IF(#REF!&lt;&gt;"--",#REF!,#REF!)</f>
        <v>#REF!</v>
      </c>
      <c r="H29" s="196" t="e">
        <f>IF(#REF!&lt;&gt;"--",#REF!,#REF!)</f>
        <v>#REF!</v>
      </c>
      <c r="I29" s="201"/>
      <c r="J29" s="201"/>
      <c r="K29" s="195" t="e">
        <f>IF(#REF!&lt;&gt;"--",#REF!,#REF!)</f>
        <v>#REF!</v>
      </c>
      <c r="L29" s="196" t="e">
        <f>IF(#REF!&lt;&gt;"--",#REF!,#REF!)</f>
        <v>#REF!</v>
      </c>
      <c r="M29" s="197"/>
      <c r="N29" s="201"/>
      <c r="O29" s="195" t="e">
        <f>IF(#REF!&lt;&gt;"--",#REF!,#REF!)</f>
        <v>#REF!</v>
      </c>
      <c r="P29" s="196" t="e">
        <f>IF(#REF!&lt;&gt;"--",#REF!,#REF!)</f>
        <v>#REF!</v>
      </c>
      <c r="Q29" s="212"/>
      <c r="R29" s="201"/>
      <c r="S29" s="140"/>
      <c r="V29" s="209" t="str">
        <f>IF(NOT(ISERROR(VLOOKUP($U29,Calendário!$D$122:$F$131,3,FALSE))),VLOOKUP($U29,Calendário!$D$122:$F$131,3,FALSE),IF(NOT(ISERROR(VLOOKUP($U29,Calendário!$H$122:$J$131,3,FALSE))),VLOOKUP($U29,Calendário!$H$122:$J$131,3,FALSE),IF(NOT(ISERROR(VLOOKUP($U29,Calendário!$L$122:$N$131,3,FALSE))),VLOOKUP($U29,Calendário!$L$122:$N$131,3,FALSE),IF(NOT(ISERROR(VLOOKUP($U29,Calendário!$P$122:$R$131,3,FALSE))),VLOOKUP($U29,Calendário!$P$122:$R$131,3,FALSE),IF(NOT(ISERROR(VLOOKUP($U29,Calendário!$T$122:$V$131,3,FALSE))),VLOOKUP($U29,Calendário!$T$122:$V$131,3,FALSE),"--")))))</f>
        <v>--</v>
      </c>
      <c r="W29" t="str">
        <f>IF(NOT(ISERROR(VLOOKUP($U29,Calendário!$X$122:$Z$131,3,FALSE))),VLOOKUP($U29,Calendário!$X$122:$Z$131,3,FALSE),"--")</f>
        <v>--</v>
      </c>
      <c r="X29" s="209" t="str">
        <f>IF(NOT(ISERROR(VLOOKUP($U29,Calendário!$D$122:$F$131,2,FALSE))),VLOOKUP($U29,Calendário!$D$122:$F$131,2,FALSE),IF(NOT(ISERROR(VLOOKUP($U29,Calendário!$H$122:$J$131,2,FALSE))),VLOOKUP($U29,Calendário!$H$122:$J$131,2,FALSE),IF(NOT(ISERROR(VLOOKUP($U29,Calendário!$L$122:$N$131,2,FALSE))),VLOOKUP($U29,Calendário!$L$122:$N$131,2,FALSE),IF(NOT(ISERROR(VLOOKUP($U29,Calendário!$P$122:$R$131,2,FALSE))),VLOOKUP($U29,Calendário!$P$122:$R$131,2,FALSE),IF(NOT(ISERROR(VLOOKUP($U29,Calendário!$T$122:$V$131,2,FALSE))),VLOOKUP($U29,Calendário!$T$122:$V$131,2,FALSE),"--")))))</f>
        <v>--</v>
      </c>
      <c r="Y29" t="str">
        <f>IF(NOT(ISERROR(VLOOKUP($U29,Calendário!$X$7:$Z$51,2,FALSE))),VLOOKUP($U29,Calendário!$X$7:$Z$51,2,FALSE),"--")</f>
        <v>--</v>
      </c>
    </row>
    <row r="30" spans="2:25" ht="15" x14ac:dyDescent="0.2">
      <c r="B30" s="204" t="s">
        <v>47</v>
      </c>
      <c r="C30" s="241"/>
      <c r="D30" s="241"/>
      <c r="E30" s="258"/>
      <c r="F30" s="241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186"/>
      <c r="R30" s="207"/>
      <c r="S30" s="140"/>
      <c r="V30" s="209"/>
      <c r="X30" s="209"/>
    </row>
    <row r="31" spans="2:25" ht="15" x14ac:dyDescent="0.2">
      <c r="B31" s="198" t="s">
        <v>28</v>
      </c>
      <c r="C31" s="259">
        <f t="shared" ref="C31:C42" si="4">IF(V31&lt;&gt;"--",V31,W31)</f>
        <v>42795</v>
      </c>
      <c r="D31" s="251" t="str">
        <f t="shared" ref="D31:D42" si="5">IF(X31&lt;&gt;"--",X31,Y31)</f>
        <v>14h30</v>
      </c>
      <c r="E31" s="261"/>
      <c r="F31" s="242" t="s">
        <v>174</v>
      </c>
      <c r="G31" s="192" t="e">
        <f>IF(#REF!&lt;&gt;"--",#REF!,#REF!)</f>
        <v>#REF!</v>
      </c>
      <c r="H31" s="203" t="e">
        <f>IF(#REF!&lt;&gt;"--",#REF!,#REF!)</f>
        <v>#REF!</v>
      </c>
      <c r="I31" s="191" t="s">
        <v>160</v>
      </c>
      <c r="J31" s="202" t="s">
        <v>98</v>
      </c>
      <c r="K31" s="192" t="e">
        <f>IF(#REF!&lt;&gt;"--",#REF!,#REF!)</f>
        <v>#REF!</v>
      </c>
      <c r="L31" s="193" t="e">
        <f>IF(#REF!&lt;&gt;"--",#REF!,#REF!)</f>
        <v>#REF!</v>
      </c>
      <c r="M31" s="202">
        <v>2.0099999999999998</v>
      </c>
      <c r="N31" s="202" t="s">
        <v>174</v>
      </c>
      <c r="O31" s="192" t="e">
        <f>IF(#REF!&lt;&gt;"--",#REF!,#REF!)</f>
        <v>#REF!</v>
      </c>
      <c r="P31" s="203" t="e">
        <f>IF(#REF!&lt;&gt;"--",#REF!,#REF!)</f>
        <v>#REF!</v>
      </c>
      <c r="Q31" s="202">
        <v>2.0099999999999998</v>
      </c>
      <c r="R31" s="202" t="s">
        <v>174</v>
      </c>
      <c r="S31" s="140"/>
      <c r="U31" s="57" t="s">
        <v>77</v>
      </c>
      <c r="V31" s="209">
        <f>IF(NOT(ISERROR(VLOOKUP($U31,Calendário!$D$122:$F$131,3,FALSE))),VLOOKUP($U31,Calendário!$D$122:$F$131,3,FALSE),IF(NOT(ISERROR(VLOOKUP($U31,Calendário!$H$122:$J$131,3,FALSE))),VLOOKUP($U31,Calendário!$H$122:$J$131,3,FALSE),IF(NOT(ISERROR(VLOOKUP($U31,Calendário!$L$122:$N$131,3,FALSE))),VLOOKUP($U31,Calendário!$L$122:$N$131,3,FALSE),IF(NOT(ISERROR(VLOOKUP($U31,Calendário!$P$122:$R$131,3,FALSE))),VLOOKUP($U31,Calendário!$P$122:$R$131,3,FALSE),IF(NOT(ISERROR(VLOOKUP($U31,Calendário!$T$122:$V$131,3,FALSE))),VLOOKUP($U31,Calendário!$T$122:$V$131,3,FALSE),"--")))))</f>
        <v>42795</v>
      </c>
      <c r="W31" t="str">
        <f>IF(NOT(ISERROR(VLOOKUP($U31,Calendário!$X$122:$Z$131,3,FALSE))),VLOOKUP($U31,Calendário!$X$122:$Z$131,3,FALSE),"--")</f>
        <v>--</v>
      </c>
      <c r="X31" s="209" t="str">
        <f>IF(NOT(ISERROR(VLOOKUP($U31,Calendário!$D$122:$F$131,2,FALSE))),VLOOKUP($U31,Calendário!$D$122:$F$131,2,FALSE),IF(NOT(ISERROR(VLOOKUP($U31,Calendário!$H$122:$J$131,2,FALSE))),VLOOKUP($U31,Calendário!$H$122:$J$131,2,FALSE),IF(NOT(ISERROR(VLOOKUP($U31,Calendário!$L$122:$N$131,2,FALSE))),VLOOKUP($U31,Calendário!$L$122:$N$131,2,FALSE),IF(NOT(ISERROR(VLOOKUP($U31,Calendário!$P$122:$R$131,2,FALSE))),VLOOKUP($U31,Calendário!$P$122:$R$131,2,FALSE),IF(NOT(ISERROR(VLOOKUP($U31,Calendário!$T$122:$V$131,2,FALSE))),VLOOKUP($U31,Calendário!$T$122:$V$131,2,FALSE),"--")))))</f>
        <v>14h30</v>
      </c>
      <c r="Y31" t="str">
        <f>IF(NOT(ISERROR(VLOOKUP($U31,Calendário!$X$7:$Z$51,2,FALSE))),VLOOKUP($U31,Calendário!$X$7:$Z$51,2,FALSE),"--")</f>
        <v>--</v>
      </c>
    </row>
    <row r="32" spans="2:25" ht="15" x14ac:dyDescent="0.2">
      <c r="B32" s="149" t="s">
        <v>29</v>
      </c>
      <c r="C32" s="253">
        <f t="shared" si="4"/>
        <v>42788</v>
      </c>
      <c r="D32" s="251" t="str">
        <f t="shared" si="5"/>
        <v>14h30</v>
      </c>
      <c r="E32" s="254"/>
      <c r="F32" s="238" t="s">
        <v>98</v>
      </c>
      <c r="G32" s="148" t="e">
        <f>IF(#REF!&lt;&gt;"--",#REF!,#REF!)</f>
        <v>#REF!</v>
      </c>
      <c r="H32" s="39" t="e">
        <f>IF(#REF!&lt;&gt;"--",#REF!,#REF!)</f>
        <v>#REF!</v>
      </c>
      <c r="I32" s="116" t="s">
        <v>167</v>
      </c>
      <c r="J32" s="66" t="s">
        <v>98</v>
      </c>
      <c r="K32" s="148" t="e">
        <f>IF(#REF!&lt;&gt;"--",#REF!,#REF!)</f>
        <v>#REF!</v>
      </c>
      <c r="L32" s="39" t="e">
        <f>IF(#REF!&lt;&gt;"--",#REF!,#REF!)</f>
        <v>#REF!</v>
      </c>
      <c r="M32" s="202">
        <v>2.0099999999999998</v>
      </c>
      <c r="N32" s="66" t="s">
        <v>98</v>
      </c>
      <c r="O32" s="148" t="e">
        <f>IF(#REF!&lt;&gt;"--",#REF!,#REF!)</f>
        <v>#REF!</v>
      </c>
      <c r="P32" s="123" t="e">
        <f>IF(#REF!&lt;&gt;"--",#REF!,#REF!)</f>
        <v>#REF!</v>
      </c>
      <c r="Q32" s="202">
        <v>2.0099999999999998</v>
      </c>
      <c r="R32" s="66" t="s">
        <v>98</v>
      </c>
      <c r="S32" s="140"/>
      <c r="U32" s="57" t="s">
        <v>63</v>
      </c>
      <c r="V32" s="209">
        <f>IF(NOT(ISERROR(VLOOKUP($U32,Calendário!$D$122:$F$131,3,FALSE))),VLOOKUP($U32,Calendário!$D$122:$F$131,3,FALSE),IF(NOT(ISERROR(VLOOKUP($U32,Calendário!$H$122:$J$131,3,FALSE))),VLOOKUP($U32,Calendário!$H$122:$J$131,3,FALSE),IF(NOT(ISERROR(VLOOKUP($U32,Calendário!$L$122:$N$131,3,FALSE))),VLOOKUP($U32,Calendário!$L$122:$N$131,3,FALSE),IF(NOT(ISERROR(VLOOKUP($U32,Calendário!$P$122:$R$131,3,FALSE))),VLOOKUP($U32,Calendário!$P$122:$R$131,3,FALSE),IF(NOT(ISERROR(VLOOKUP($U32,Calendário!$T$122:$V$131,3,FALSE))),VLOOKUP($U32,Calendário!$T$122:$V$131,3,FALSE),"--")))))</f>
        <v>42788</v>
      </c>
      <c r="W32" t="str">
        <f>IF(NOT(ISERROR(VLOOKUP($U32,Calendário!$X$122:$Z$131,3,FALSE))),VLOOKUP($U32,Calendário!$X$122:$Z$131,3,FALSE),"--")</f>
        <v>--</v>
      </c>
      <c r="X32" s="209" t="str">
        <f>IF(NOT(ISERROR(VLOOKUP($U32,Calendário!$D$122:$F$131,2,FALSE))),VLOOKUP($U32,Calendário!$D$122:$F$131,2,FALSE),IF(NOT(ISERROR(VLOOKUP($U32,Calendário!$H$122:$J$131,2,FALSE))),VLOOKUP($U32,Calendário!$H$122:$J$131,2,FALSE),IF(NOT(ISERROR(VLOOKUP($U32,Calendário!$L$122:$N$131,2,FALSE))),VLOOKUP($U32,Calendário!$L$122:$N$131,2,FALSE),IF(NOT(ISERROR(VLOOKUP($U32,Calendário!$P$122:$R$131,2,FALSE))),VLOOKUP($U32,Calendário!$P$122:$R$131,2,FALSE),IF(NOT(ISERROR(VLOOKUP($U32,Calendário!$T$122:$V$131,2,FALSE))),VLOOKUP($U32,Calendário!$T$122:$V$131,2,FALSE),"--")))))</f>
        <v>14h30</v>
      </c>
      <c r="Y32" t="str">
        <f>IF(NOT(ISERROR(VLOOKUP($U32,Calendário!$X$7:$Z$51,2,FALSE))),VLOOKUP($U32,Calendário!$X$7:$Z$51,2,FALSE),"--")</f>
        <v>--</v>
      </c>
    </row>
    <row r="33" spans="2:26" ht="15" x14ac:dyDescent="0.2">
      <c r="B33" s="184" t="s">
        <v>30</v>
      </c>
      <c r="C33" s="253">
        <f t="shared" si="4"/>
        <v>42786</v>
      </c>
      <c r="D33" s="251" t="str">
        <f t="shared" si="5"/>
        <v>14h30</v>
      </c>
      <c r="E33" s="254"/>
      <c r="F33" s="238" t="s">
        <v>104</v>
      </c>
      <c r="G33" s="148" t="e">
        <f>IF(#REF!&lt;&gt;"--",#REF!,#REF!)</f>
        <v>#REF!</v>
      </c>
      <c r="H33" s="39" t="e">
        <f>IF(#REF!&lt;&gt;"--",#REF!,#REF!)</f>
        <v>#REF!</v>
      </c>
      <c r="I33" s="115" t="s">
        <v>168</v>
      </c>
      <c r="J33" s="66" t="s">
        <v>104</v>
      </c>
      <c r="K33" s="148" t="e">
        <f>IF(#REF!&lt;&gt;"--",#REF!,#REF!)</f>
        <v>#REF!</v>
      </c>
      <c r="L33" s="39" t="e">
        <f>IF(#REF!&lt;&gt;"--",#REF!,#REF!)</f>
        <v>#REF!</v>
      </c>
      <c r="M33" s="116">
        <v>133</v>
      </c>
      <c r="N33" s="66" t="s">
        <v>104</v>
      </c>
      <c r="O33" s="148" t="e">
        <f>IF(#REF!&lt;&gt;"--",#REF!,#REF!)</f>
        <v>#REF!</v>
      </c>
      <c r="P33" s="123" t="e">
        <f>IF(#REF!&lt;&gt;"--",#REF!,#REF!)</f>
        <v>#REF!</v>
      </c>
      <c r="Q33" s="116">
        <v>133</v>
      </c>
      <c r="R33" s="66" t="s">
        <v>104</v>
      </c>
      <c r="S33" s="140"/>
      <c r="U33" s="57" t="s">
        <v>71</v>
      </c>
      <c r="V33" s="209">
        <f>IF(NOT(ISERROR(VLOOKUP($U33,Calendário!$D$122:$F$131,3,FALSE))),VLOOKUP($U33,Calendário!$D$122:$F$131,3,FALSE),IF(NOT(ISERROR(VLOOKUP($U33,Calendário!$H$122:$J$131,3,FALSE))),VLOOKUP($U33,Calendário!$H$122:$J$131,3,FALSE),IF(NOT(ISERROR(VLOOKUP($U33,Calendário!$L$122:$N$131,3,FALSE))),VLOOKUP($U33,Calendário!$L$122:$N$131,3,FALSE),IF(NOT(ISERROR(VLOOKUP($U33,Calendário!$P$122:$R$131,3,FALSE))),VLOOKUP($U33,Calendário!$P$122:$R$131,3,FALSE),IF(NOT(ISERROR(VLOOKUP($U33,Calendário!$T$122:$V$131,3,FALSE))),VLOOKUP($U33,Calendário!$T$122:$V$131,3,FALSE),"--")))))</f>
        <v>42786</v>
      </c>
      <c r="W33" t="str">
        <f>IF(NOT(ISERROR(VLOOKUP($U33,Calendário!$X$122:$Z$131,3,FALSE))),VLOOKUP($U33,Calendário!$X$122:$Z$131,3,FALSE),"--")</f>
        <v>--</v>
      </c>
      <c r="X33" s="209" t="str">
        <f>IF(NOT(ISERROR(VLOOKUP($U33,Calendário!$D$122:$F$131,2,FALSE))),VLOOKUP($U33,Calendário!$D$122:$F$131,2,FALSE),IF(NOT(ISERROR(VLOOKUP($U33,Calendário!$H$122:$J$131,2,FALSE))),VLOOKUP($U33,Calendário!$H$122:$J$131,2,FALSE),IF(NOT(ISERROR(VLOOKUP($U33,Calendário!$L$122:$N$131,2,FALSE))),VLOOKUP($U33,Calendário!$L$122:$N$131,2,FALSE),IF(NOT(ISERROR(VLOOKUP($U33,Calendário!$P$122:$R$131,2,FALSE))),VLOOKUP($U33,Calendário!$P$122:$R$131,2,FALSE),IF(NOT(ISERROR(VLOOKUP($U33,Calendário!$T$122:$V$131,2,FALSE))),VLOOKUP($U33,Calendário!$T$122:$V$131,2,FALSE),"--")))))</f>
        <v>14h30</v>
      </c>
      <c r="Y33" t="str">
        <f>IF(NOT(ISERROR(VLOOKUP($U33,Calendário!$X$7:$Z$51,2,FALSE))),VLOOKUP($U33,Calendário!$X$7:$Z$51,2,FALSE),"--")</f>
        <v>--</v>
      </c>
    </row>
    <row r="34" spans="2:26" ht="15" x14ac:dyDescent="0.2">
      <c r="B34" s="149" t="s">
        <v>31</v>
      </c>
      <c r="C34" s="253">
        <f t="shared" si="4"/>
        <v>42790</v>
      </c>
      <c r="D34" s="251" t="str">
        <f t="shared" si="5"/>
        <v>14h30</v>
      </c>
      <c r="E34" s="254"/>
      <c r="F34" s="238" t="s">
        <v>98</v>
      </c>
      <c r="G34" s="148" t="e">
        <f>IF(#REF!&lt;&gt;"--",#REF!,#REF!)</f>
        <v>#REF!</v>
      </c>
      <c r="H34" s="39" t="e">
        <f>IF(#REF!&lt;&gt;"--",#REF!,#REF!)</f>
        <v>#REF!</v>
      </c>
      <c r="I34" s="116" t="s">
        <v>159</v>
      </c>
      <c r="J34" s="66" t="s">
        <v>98</v>
      </c>
      <c r="K34" s="148" t="e">
        <f>IF(#REF!&lt;&gt;"--",#REF!,#REF!)</f>
        <v>#REF!</v>
      </c>
      <c r="L34" s="39" t="e">
        <f>IF(#REF!&lt;&gt;"--",#REF!,#REF!)</f>
        <v>#REF!</v>
      </c>
      <c r="M34" s="66">
        <v>2.0099999999999998</v>
      </c>
      <c r="N34" s="66" t="s">
        <v>98</v>
      </c>
      <c r="O34" s="148" t="e">
        <f>IF(#REF!&lt;&gt;"--",#REF!,#REF!)</f>
        <v>#REF!</v>
      </c>
      <c r="P34" s="123" t="e">
        <f>IF(#REF!&lt;&gt;"--",#REF!,#REF!)</f>
        <v>#REF!</v>
      </c>
      <c r="Q34" s="110">
        <v>0.02</v>
      </c>
      <c r="R34" s="66" t="s">
        <v>98</v>
      </c>
      <c r="S34" s="140"/>
      <c r="U34" s="57" t="s">
        <v>78</v>
      </c>
      <c r="V34" s="209">
        <f>IF(NOT(ISERROR(VLOOKUP($U34,Calendário!$D$122:$F$131,3,FALSE))),VLOOKUP($U34,Calendário!$D$122:$F$131,3,FALSE),IF(NOT(ISERROR(VLOOKUP($U34,Calendário!$H$122:$J$131,3,FALSE))),VLOOKUP($U34,Calendário!$H$122:$J$131,3,FALSE),IF(NOT(ISERROR(VLOOKUP($U34,Calendário!$L$122:$N$131,3,FALSE))),VLOOKUP($U34,Calendário!$L$122:$N$131,3,FALSE),IF(NOT(ISERROR(VLOOKUP($U34,Calendário!$P$122:$R$131,3,FALSE))),VLOOKUP($U34,Calendário!$P$122:$R$131,3,FALSE),IF(NOT(ISERROR(VLOOKUP($U34,Calendário!$T$122:$V$131,3,FALSE))),VLOOKUP($U34,Calendário!$T$122:$V$131,3,FALSE),"--")))))</f>
        <v>42790</v>
      </c>
      <c r="W34" t="str">
        <f>IF(NOT(ISERROR(VLOOKUP($U34,Calendário!$X$122:$Z$131,3,FALSE))),VLOOKUP($U34,Calendário!$X$122:$Z$131,3,FALSE),"--")</f>
        <v>--</v>
      </c>
      <c r="X34" s="209" t="str">
        <f>IF(NOT(ISERROR(VLOOKUP($U34,Calendário!$D$122:$F$131,2,FALSE))),VLOOKUP($U34,Calendário!$D$122:$F$131,2,FALSE),IF(NOT(ISERROR(VLOOKUP($U34,Calendário!$H$122:$J$131,2,FALSE))),VLOOKUP($U34,Calendário!$H$122:$J$131,2,FALSE),IF(NOT(ISERROR(VLOOKUP($U34,Calendário!$L$122:$N$131,2,FALSE))),VLOOKUP($U34,Calendário!$L$122:$N$131,2,FALSE),IF(NOT(ISERROR(VLOOKUP($U34,Calendário!$P$122:$R$131,2,FALSE))),VLOOKUP($U34,Calendário!$P$122:$R$131,2,FALSE),IF(NOT(ISERROR(VLOOKUP($U34,Calendário!$T$122:$V$131,2,FALSE))),VLOOKUP($U34,Calendário!$T$122:$V$131,2,FALSE),"--")))))</f>
        <v>14h30</v>
      </c>
      <c r="Y34" t="str">
        <f>IF(NOT(ISERROR(VLOOKUP($U34,Calendário!$X$7:$Z$51,2,FALSE))),VLOOKUP($U34,Calendário!$X$7:$Z$51,2,FALSE),"--")</f>
        <v>--</v>
      </c>
    </row>
    <row r="35" spans="2:26" ht="15" x14ac:dyDescent="0.2">
      <c r="B35" s="149" t="s">
        <v>32</v>
      </c>
      <c r="C35" s="253">
        <f t="shared" si="4"/>
        <v>42793</v>
      </c>
      <c r="D35" s="251" t="str">
        <f t="shared" si="5"/>
        <v>14h30</v>
      </c>
      <c r="E35" s="260"/>
      <c r="F35" s="238" t="s">
        <v>99</v>
      </c>
      <c r="G35" s="148" t="e">
        <f>IF(#REF!&lt;&gt;"--",#REF!,#REF!)</f>
        <v>#REF!</v>
      </c>
      <c r="H35" s="39" t="e">
        <f>IF(#REF!&lt;&gt;"--",#REF!,#REF!)</f>
        <v>#REF!</v>
      </c>
      <c r="I35" s="116" t="s">
        <v>159</v>
      </c>
      <c r="J35" s="116" t="s">
        <v>99</v>
      </c>
      <c r="K35" s="148" t="e">
        <f>IF(#REF!&lt;&gt;"--",#REF!,#REF!)</f>
        <v>#REF!</v>
      </c>
      <c r="L35" s="39" t="e">
        <f>IF(#REF!&lt;&gt;"--",#REF!,#REF!)</f>
        <v>#REF!</v>
      </c>
      <c r="M35" s="115">
        <v>2.0099999999999998</v>
      </c>
      <c r="N35" s="116" t="s">
        <v>99</v>
      </c>
      <c r="O35" s="148" t="e">
        <f>IF(#REF!&lt;&gt;"--",#REF!,#REF!)</f>
        <v>#REF!</v>
      </c>
      <c r="P35" s="123" t="e">
        <f>IF(#REF!&lt;&gt;"--",#REF!,#REF!)</f>
        <v>#REF!</v>
      </c>
      <c r="Q35" s="115">
        <v>2.0099999999999998</v>
      </c>
      <c r="R35" s="116" t="s">
        <v>99</v>
      </c>
      <c r="S35" s="140"/>
      <c r="U35" s="57" t="s">
        <v>83</v>
      </c>
      <c r="V35" s="209">
        <f>IF(NOT(ISERROR(VLOOKUP($U35,Calendário!$D$122:$F$131,3,FALSE))),VLOOKUP($U35,Calendário!$D$122:$F$131,3,FALSE),IF(NOT(ISERROR(VLOOKUP($U35,Calendário!$H$122:$J$131,3,FALSE))),VLOOKUP($U35,Calendário!$H$122:$J$131,3,FALSE),IF(NOT(ISERROR(VLOOKUP($U35,Calendário!$L$122:$N$131,3,FALSE))),VLOOKUP($U35,Calendário!$L$122:$N$131,3,FALSE),IF(NOT(ISERROR(VLOOKUP($U35,Calendário!$P$122:$R$131,3,FALSE))),VLOOKUP($U35,Calendário!$P$122:$R$131,3,FALSE),IF(NOT(ISERROR(VLOOKUP($U35,Calendário!$T$122:$V$131,3,FALSE))),VLOOKUP($U35,Calendário!$T$122:$V$131,3,FALSE),"--")))))</f>
        <v>42793</v>
      </c>
      <c r="W35" t="str">
        <f>IF(NOT(ISERROR(VLOOKUP($U35,Calendário!$X$122:$Z$131,3,FALSE))),VLOOKUP($U35,Calendário!$X$122:$Z$131,3,FALSE),"--")</f>
        <v>--</v>
      </c>
      <c r="X35" s="209" t="str">
        <f>IF(NOT(ISERROR(VLOOKUP($U35,Calendário!$D$122:$F$131,2,FALSE))),VLOOKUP($U35,Calendário!$D$122:$F$131,2,FALSE),IF(NOT(ISERROR(VLOOKUP($U35,Calendário!$H$122:$J$131,2,FALSE))),VLOOKUP($U35,Calendário!$H$122:$J$131,2,FALSE),IF(NOT(ISERROR(VLOOKUP($U35,Calendário!$L$122:$N$131,2,FALSE))),VLOOKUP($U35,Calendário!$L$122:$N$131,2,FALSE),IF(NOT(ISERROR(VLOOKUP($U35,Calendário!$P$122:$R$131,2,FALSE))),VLOOKUP($U35,Calendário!$P$122:$R$131,2,FALSE),IF(NOT(ISERROR(VLOOKUP($U35,Calendário!$T$122:$V$131,2,FALSE))),VLOOKUP($U35,Calendário!$T$122:$V$131,2,FALSE),"--")))))</f>
        <v>14h30</v>
      </c>
      <c r="Y35" t="str">
        <f>IF(NOT(ISERROR(VLOOKUP($U35,Calendário!$X$7:$Z$51,2,FALSE))),VLOOKUP($U35,Calendário!$X$7:$Z$51,2,FALSE),"--")</f>
        <v>--</v>
      </c>
    </row>
    <row r="36" spans="2:26" ht="15" x14ac:dyDescent="0.2">
      <c r="B36" s="149" t="s">
        <v>33</v>
      </c>
      <c r="C36" s="253">
        <f t="shared" si="4"/>
        <v>42795</v>
      </c>
      <c r="D36" s="251" t="str">
        <f t="shared" si="5"/>
        <v>14h30</v>
      </c>
      <c r="E36" s="254"/>
      <c r="F36" s="238" t="s">
        <v>100</v>
      </c>
      <c r="G36" s="148" t="e">
        <f>IF(#REF!&lt;&gt;"--",#REF!,#REF!)</f>
        <v>#REF!</v>
      </c>
      <c r="H36" s="39" t="e">
        <f>IF(#REF!&lt;&gt;"--",#REF!,#REF!)</f>
        <v>#REF!</v>
      </c>
      <c r="I36" s="116" t="s">
        <v>159</v>
      </c>
      <c r="J36" s="66" t="s">
        <v>100</v>
      </c>
      <c r="K36" s="148" t="e">
        <f>IF(#REF!&lt;&gt;"--",#REF!,#REF!)</f>
        <v>#REF!</v>
      </c>
      <c r="L36" s="39" t="e">
        <f>IF(#REF!&lt;&gt;"--",#REF!,#REF!)</f>
        <v>#REF!</v>
      </c>
      <c r="M36" s="66">
        <v>2.04</v>
      </c>
      <c r="N36" s="66" t="s">
        <v>100</v>
      </c>
      <c r="O36" s="148" t="e">
        <f>IF(#REF!&lt;&gt;"--",#REF!,#REF!)</f>
        <v>#REF!</v>
      </c>
      <c r="P36" s="123" t="e">
        <f>IF(#REF!&lt;&gt;"--",#REF!,#REF!)</f>
        <v>#REF!</v>
      </c>
      <c r="Q36" s="66">
        <v>2.04</v>
      </c>
      <c r="R36" s="66" t="s">
        <v>100</v>
      </c>
      <c r="S36" s="140"/>
      <c r="U36" s="57" t="s">
        <v>84</v>
      </c>
      <c r="V36" s="209">
        <f>IF(NOT(ISERROR(VLOOKUP($U36,Calendário!$D$122:$F$131,3,FALSE))),VLOOKUP($U36,Calendário!$D$122:$F$131,3,FALSE),IF(NOT(ISERROR(VLOOKUP($U36,Calendário!$H$122:$J$131,3,FALSE))),VLOOKUP($U36,Calendário!$H$122:$J$131,3,FALSE),IF(NOT(ISERROR(VLOOKUP($U36,Calendário!$L$122:$N$131,3,FALSE))),VLOOKUP($U36,Calendário!$L$122:$N$131,3,FALSE),IF(NOT(ISERROR(VLOOKUP($U36,Calendário!$P$122:$R$131,3,FALSE))),VLOOKUP($U36,Calendário!$P$122:$R$131,3,FALSE),IF(NOT(ISERROR(VLOOKUP($U36,Calendário!$T$122:$V$131,3,FALSE))),VLOOKUP($U36,Calendário!$T$122:$V$131,3,FALSE),"--")))))</f>
        <v>42795</v>
      </c>
      <c r="W36" t="str">
        <f>IF(NOT(ISERROR(VLOOKUP($U36,Calendário!$X$122:$Z$131,3,FALSE))),VLOOKUP($U36,Calendário!$X$122:$Z$131,3,FALSE),"--")</f>
        <v>--</v>
      </c>
      <c r="X36" s="209" t="str">
        <f>IF(NOT(ISERROR(VLOOKUP($U36,Calendário!$D$122:$F$131,2,FALSE))),VLOOKUP($U36,Calendário!$D$122:$F$131,2,FALSE),IF(NOT(ISERROR(VLOOKUP($U36,Calendário!$H$122:$J$131,2,FALSE))),VLOOKUP($U36,Calendário!$H$122:$J$131,2,FALSE),IF(NOT(ISERROR(VLOOKUP($U36,Calendário!$L$122:$N$131,2,FALSE))),VLOOKUP($U36,Calendário!$L$122:$N$131,2,FALSE),IF(NOT(ISERROR(VLOOKUP($U36,Calendário!$P$122:$R$131,2,FALSE))),VLOOKUP($U36,Calendário!$P$122:$R$131,2,FALSE),IF(NOT(ISERROR(VLOOKUP($U36,Calendário!$T$122:$V$131,2,FALSE))),VLOOKUP($U36,Calendário!$T$122:$V$131,2,FALSE),"--")))))</f>
        <v>14h30</v>
      </c>
      <c r="Y36" t="str">
        <f>IF(NOT(ISERROR(VLOOKUP($U36,Calendário!$X$7:$Z$51,2,FALSE))),VLOOKUP($U36,Calendário!$X$7:$Z$51,2,FALSE),"--")</f>
        <v>10h00</v>
      </c>
    </row>
    <row r="37" spans="2:26" ht="15" x14ac:dyDescent="0.2">
      <c r="B37" s="149" t="s">
        <v>34</v>
      </c>
      <c r="C37" s="253">
        <f t="shared" si="4"/>
        <v>42790</v>
      </c>
      <c r="D37" s="251" t="str">
        <f t="shared" si="5"/>
        <v>14h30</v>
      </c>
      <c r="E37" s="254"/>
      <c r="F37" s="238" t="s">
        <v>100</v>
      </c>
      <c r="G37" s="148" t="e">
        <f>IF(#REF!&lt;&gt;"--",#REF!,#REF!)</f>
        <v>#REF!</v>
      </c>
      <c r="H37" s="39" t="e">
        <f>IF(#REF!&lt;&gt;"--",#REF!,#REF!)</f>
        <v>#REF!</v>
      </c>
      <c r="I37" s="145" t="s">
        <v>169</v>
      </c>
      <c r="J37" s="66" t="s">
        <v>100</v>
      </c>
      <c r="K37" s="148" t="e">
        <f>IF(#REF!&lt;&gt;"--",#REF!,#REF!)</f>
        <v>#REF!</v>
      </c>
      <c r="L37" s="39" t="e">
        <f>IF(#REF!&lt;&gt;"--",#REF!,#REF!)</f>
        <v>#REF!</v>
      </c>
      <c r="M37" s="66">
        <v>2.04</v>
      </c>
      <c r="N37" s="66" t="s">
        <v>100</v>
      </c>
      <c r="O37" s="148" t="e">
        <f>IF(#REF!&lt;&gt;"--",#REF!,#REF!)</f>
        <v>#REF!</v>
      </c>
      <c r="P37" s="123" t="e">
        <f>IF(#REF!&lt;&gt;"--",#REF!,#REF!)</f>
        <v>#REF!</v>
      </c>
      <c r="Q37" s="66">
        <v>2.04</v>
      </c>
      <c r="R37" s="66" t="s">
        <v>100</v>
      </c>
      <c r="S37" s="140"/>
      <c r="U37" s="57" t="s">
        <v>79</v>
      </c>
      <c r="V37" s="209">
        <f>IF(NOT(ISERROR(VLOOKUP($U37,Calendário!$D$122:$F$131,3,FALSE))),VLOOKUP($U37,Calendário!$D$122:$F$131,3,FALSE),IF(NOT(ISERROR(VLOOKUP($U37,Calendário!$H$122:$J$131,3,FALSE))),VLOOKUP($U37,Calendário!$H$122:$J$131,3,FALSE),IF(NOT(ISERROR(VLOOKUP($U37,Calendário!$L$122:$N$131,3,FALSE))),VLOOKUP($U37,Calendário!$L$122:$N$131,3,FALSE),IF(NOT(ISERROR(VLOOKUP($U37,Calendário!$P$122:$R$131,3,FALSE))),VLOOKUP($U37,Calendário!$P$122:$R$131,3,FALSE),IF(NOT(ISERROR(VLOOKUP($U37,Calendário!$T$122:$V$131,3,FALSE))),VLOOKUP($U37,Calendário!$T$122:$V$131,3,FALSE),"--")))))</f>
        <v>42790</v>
      </c>
      <c r="W37" t="str">
        <f>IF(NOT(ISERROR(VLOOKUP($U37,Calendário!$X$122:$Z$131,3,FALSE))),VLOOKUP($U37,Calendário!$X$122:$Z$131,3,FALSE),"--")</f>
        <v>--</v>
      </c>
      <c r="X37" s="209" t="str">
        <f>IF(NOT(ISERROR(VLOOKUP($U37,Calendário!$D$122:$F$131,2,FALSE))),VLOOKUP($U37,Calendário!$D$122:$F$131,2,FALSE),IF(NOT(ISERROR(VLOOKUP($U37,Calendário!$H$122:$J$131,2,FALSE))),VLOOKUP($U37,Calendário!$H$122:$J$131,2,FALSE),IF(NOT(ISERROR(VLOOKUP($U37,Calendário!$L$122:$N$131,2,FALSE))),VLOOKUP($U37,Calendário!$L$122:$N$131,2,FALSE),IF(NOT(ISERROR(VLOOKUP($U37,Calendário!$P$122:$R$131,2,FALSE))),VLOOKUP($U37,Calendário!$P$122:$R$131,2,FALSE),IF(NOT(ISERROR(VLOOKUP($U37,Calendário!$T$122:$V$131,2,FALSE))),VLOOKUP($U37,Calendário!$T$122:$V$131,2,FALSE),"--")))))</f>
        <v>14h30</v>
      </c>
      <c r="Y37" t="str">
        <f>IF(NOT(ISERROR(VLOOKUP($U37,Calendário!$X$7:$Z$51,2,FALSE))),VLOOKUP($U37,Calendário!$X$7:$Z$51,2,FALSE),"--")</f>
        <v>--</v>
      </c>
    </row>
    <row r="38" spans="2:26" ht="15" x14ac:dyDescent="0.2">
      <c r="B38" s="147" t="s">
        <v>93</v>
      </c>
      <c r="C38" s="253">
        <f t="shared" si="4"/>
        <v>42786</v>
      </c>
      <c r="D38" s="251" t="str">
        <f t="shared" si="5"/>
        <v>16h</v>
      </c>
      <c r="E38" s="254"/>
      <c r="F38" s="238" t="s">
        <v>112</v>
      </c>
      <c r="G38" s="148" t="e">
        <f>IF(#REF!&lt;&gt;"--",#REF!,#REF!)</f>
        <v>#REF!</v>
      </c>
      <c r="H38" s="39" t="e">
        <f>IF(#REF!&lt;&gt;"--",#REF!,#REF!)</f>
        <v>#REF!</v>
      </c>
      <c r="I38" s="116" t="s">
        <v>160</v>
      </c>
      <c r="J38" s="66" t="s">
        <v>112</v>
      </c>
      <c r="K38" s="148" t="e">
        <f>IF(#REF!&lt;&gt;"--",#REF!,#REF!)</f>
        <v>#REF!</v>
      </c>
      <c r="L38" s="39" t="e">
        <f>IF(#REF!&lt;&gt;"--",#REF!,#REF!)</f>
        <v>#REF!</v>
      </c>
      <c r="M38" s="66">
        <v>0.03</v>
      </c>
      <c r="N38" s="66" t="s">
        <v>112</v>
      </c>
      <c r="O38" s="148" t="e">
        <f>IF(#REF!&lt;&gt;"--",#REF!,#REF!)</f>
        <v>#REF!</v>
      </c>
      <c r="P38" s="123" t="e">
        <f>IF(#REF!&lt;&gt;"--",#REF!,#REF!)</f>
        <v>#REF!</v>
      </c>
      <c r="Q38" s="66">
        <v>0.03</v>
      </c>
      <c r="R38" s="66" t="s">
        <v>112</v>
      </c>
      <c r="S38" s="140"/>
      <c r="U38" s="57" t="s">
        <v>70</v>
      </c>
      <c r="V38" s="209">
        <f>IF(NOT(ISERROR(VLOOKUP($U38,Calendário!$D$122:$F$131,3,FALSE))),VLOOKUP($U38,Calendário!$D$122:$F$131,3,FALSE),IF(NOT(ISERROR(VLOOKUP($U38,Calendário!$H$122:$J$131,3,FALSE))),VLOOKUP($U38,Calendário!$H$122:$J$131,3,FALSE),IF(NOT(ISERROR(VLOOKUP($U38,Calendário!$L$122:$N$131,3,FALSE))),VLOOKUP($U38,Calendário!$L$122:$N$131,3,FALSE),IF(NOT(ISERROR(VLOOKUP($U38,Calendário!$P$122:$R$131,3,FALSE))),VLOOKUP($U38,Calendário!$P$122:$R$131,3,FALSE),IF(NOT(ISERROR(VLOOKUP($U38,Calendário!$T$122:$V$131,3,FALSE))),VLOOKUP($U38,Calendário!$T$122:$V$131,3,FALSE),"--")))))</f>
        <v>42786</v>
      </c>
      <c r="W38" t="str">
        <f>IF(NOT(ISERROR(VLOOKUP($U38,Calendário!$X$122:$Z$131,3,FALSE))),VLOOKUP($U38,Calendário!$X$122:$Z$131,3,FALSE),"--")</f>
        <v>--</v>
      </c>
      <c r="X38" s="209" t="str">
        <f>IF(NOT(ISERROR(VLOOKUP($U38,Calendário!$D$122:$F$131,2,FALSE))),VLOOKUP($U38,Calendário!$D$122:$F$131,2,FALSE),IF(NOT(ISERROR(VLOOKUP($U38,Calendário!$H$122:$J$131,2,FALSE))),VLOOKUP($U38,Calendário!$H$122:$J$131,2,FALSE),IF(NOT(ISERROR(VLOOKUP($U38,Calendário!$L$122:$N$131,2,FALSE))),VLOOKUP($U38,Calendário!$L$122:$N$131,2,FALSE),IF(NOT(ISERROR(VLOOKUP($U38,Calendário!$P$122:$R$131,2,FALSE))),VLOOKUP($U38,Calendário!$P$122:$R$131,2,FALSE),IF(NOT(ISERROR(VLOOKUP($U38,Calendário!$T$122:$V$131,2,FALSE))),VLOOKUP($U38,Calendário!$T$122:$V$131,2,FALSE),"--")))))</f>
        <v>16h</v>
      </c>
      <c r="Y38" t="str">
        <f>IF(NOT(ISERROR(VLOOKUP($U38,Calendário!$X$7:$Z$51,2,FALSE))),VLOOKUP($U38,Calendário!$X$7:$Z$51,2,FALSE),"--")</f>
        <v>--</v>
      </c>
    </row>
    <row r="39" spans="2:26" ht="15" x14ac:dyDescent="0.2">
      <c r="B39" s="147" t="s">
        <v>35</v>
      </c>
      <c r="C39" s="253">
        <f t="shared" si="4"/>
        <v>42797</v>
      </c>
      <c r="D39" s="251" t="str">
        <f t="shared" si="5"/>
        <v>16h</v>
      </c>
      <c r="E39" s="260"/>
      <c r="F39" s="238" t="s">
        <v>101</v>
      </c>
      <c r="G39" s="148" t="e">
        <f>IF(#REF!&lt;&gt;"--",#REF!,#REF!)</f>
        <v>#REF!</v>
      </c>
      <c r="H39" s="39" t="e">
        <f>IF(#REF!&lt;&gt;"--",#REF!,#REF!)</f>
        <v>#REF!</v>
      </c>
      <c r="I39" s="111">
        <v>162</v>
      </c>
      <c r="J39" s="66" t="s">
        <v>101</v>
      </c>
      <c r="K39" s="148" t="e">
        <f>IF(#REF!&lt;&gt;"--",#REF!,#REF!)</f>
        <v>#REF!</v>
      </c>
      <c r="L39" s="39" t="e">
        <f>IF(#REF!&lt;&gt;"--",#REF!,#REF!)</f>
        <v>#REF!</v>
      </c>
      <c r="M39" s="66">
        <v>2.04</v>
      </c>
      <c r="N39" s="66" t="s">
        <v>101</v>
      </c>
      <c r="O39" s="148" t="e">
        <f>IF(#REF!&lt;&gt;"--",#REF!,#REF!)</f>
        <v>#REF!</v>
      </c>
      <c r="P39" s="123" t="e">
        <f>IF(#REF!&lt;&gt;"--",#REF!,#REF!)</f>
        <v>#REF!</v>
      </c>
      <c r="Q39" s="66">
        <v>2.04</v>
      </c>
      <c r="R39" s="66" t="s">
        <v>101</v>
      </c>
      <c r="S39" s="140"/>
      <c r="U39" s="57" t="s">
        <v>64</v>
      </c>
      <c r="V39" s="209">
        <f>IF(NOT(ISERROR(VLOOKUP($U39,Calendário!$D$122:$F$131,3,FALSE))),VLOOKUP($U39,Calendário!$D$122:$F$131,3,FALSE),IF(NOT(ISERROR(VLOOKUP($U39,Calendário!$H$122:$J$131,3,FALSE))),VLOOKUP($U39,Calendário!$H$122:$J$131,3,FALSE),IF(NOT(ISERROR(VLOOKUP($U39,Calendário!$L$122:$N$131,3,FALSE))),VLOOKUP($U39,Calendário!$L$122:$N$131,3,FALSE),IF(NOT(ISERROR(VLOOKUP($U39,Calendário!$P$122:$R$131,3,FALSE))),VLOOKUP($U39,Calendário!$P$122:$R$131,3,FALSE),IF(NOT(ISERROR(VLOOKUP($U39,Calendário!$T$122:$V$131,3,FALSE))),VLOOKUP($U39,Calendário!$T$122:$V$131,3,FALSE),"--")))))</f>
        <v>42797</v>
      </c>
      <c r="W39" t="str">
        <f>IF(NOT(ISERROR(VLOOKUP($U39,Calendário!$X$122:$Z$131,3,FALSE))),VLOOKUP($U39,Calendário!$X$122:$Z$131,3,FALSE),"--")</f>
        <v>--</v>
      </c>
      <c r="X39" s="209" t="str">
        <f>IF(NOT(ISERROR(VLOOKUP($U39,Calendário!$D$122:$F$131,2,FALSE))),VLOOKUP($U39,Calendário!$D$122:$F$131,2,FALSE),IF(NOT(ISERROR(VLOOKUP($U39,Calendário!$H$122:$J$131,2,FALSE))),VLOOKUP($U39,Calendário!$H$122:$J$131,2,FALSE),IF(NOT(ISERROR(VLOOKUP($U39,Calendário!$L$122:$N$131,2,FALSE))),VLOOKUP($U39,Calendário!$L$122:$N$131,2,FALSE),IF(NOT(ISERROR(VLOOKUP($U39,Calendário!$P$122:$R$131,2,FALSE))),VLOOKUP($U39,Calendário!$P$122:$R$131,2,FALSE),IF(NOT(ISERROR(VLOOKUP($U39,Calendário!$T$122:$V$131,2,FALSE))),VLOOKUP($U39,Calendário!$T$122:$V$131,2,FALSE),"--")))))</f>
        <v>16h</v>
      </c>
      <c r="Y39" t="str">
        <f>IF(NOT(ISERROR(VLOOKUP($U39,Calendário!$X$7:$Z$51,2,FALSE))),VLOOKUP($U39,Calendário!$X$7:$Z$51,2,FALSE),"--")</f>
        <v>--</v>
      </c>
    </row>
    <row r="40" spans="2:26" ht="15" x14ac:dyDescent="0.2">
      <c r="B40" s="149" t="s">
        <v>36</v>
      </c>
      <c r="C40" s="253">
        <f t="shared" si="4"/>
        <v>42788</v>
      </c>
      <c r="D40" s="251" t="str">
        <f t="shared" si="5"/>
        <v>14h30</v>
      </c>
      <c r="E40" s="254"/>
      <c r="F40" s="238" t="s">
        <v>97</v>
      </c>
      <c r="G40" s="148" t="e">
        <f>IF(#REF!&lt;&gt;"--",#REF!,#REF!)</f>
        <v>#REF!</v>
      </c>
      <c r="H40" s="39" t="e">
        <f>IF(#REF!&lt;&gt;"--",#REF!,#REF!)</f>
        <v>#REF!</v>
      </c>
      <c r="I40" s="146" t="s">
        <v>167</v>
      </c>
      <c r="J40" s="66" t="s">
        <v>97</v>
      </c>
      <c r="K40" s="148" t="e">
        <f>IF(#REF!&lt;&gt;"--",#REF!,#REF!)</f>
        <v>#REF!</v>
      </c>
      <c r="L40" s="39" t="e">
        <f>IF(#REF!&lt;&gt;"--",#REF!,#REF!)</f>
        <v>#REF!</v>
      </c>
      <c r="M40" s="66">
        <v>2.04</v>
      </c>
      <c r="N40" s="66" t="s">
        <v>97</v>
      </c>
      <c r="O40" s="148" t="e">
        <f>IF(#REF!&lt;&gt;"--",#REF!,#REF!)</f>
        <v>#REF!</v>
      </c>
      <c r="P40" s="39" t="e">
        <f>IF(#REF!&lt;&gt;"--",#REF!,#REF!)</f>
        <v>#REF!</v>
      </c>
      <c r="Q40" s="66">
        <v>2.04</v>
      </c>
      <c r="R40" s="66" t="s">
        <v>97</v>
      </c>
      <c r="S40" s="140"/>
      <c r="U40" s="57" t="s">
        <v>68</v>
      </c>
      <c r="V40" s="209">
        <f>IF(NOT(ISERROR(VLOOKUP($U40,Calendário!$D$122:$F$131,3,FALSE))),VLOOKUP($U40,Calendário!$D$122:$F$131,3,FALSE),IF(NOT(ISERROR(VLOOKUP($U40,Calendário!$H$122:$J$131,3,FALSE))),VLOOKUP($U40,Calendário!$H$122:$J$131,3,FALSE),IF(NOT(ISERROR(VLOOKUP($U40,Calendário!$L$122:$N$131,3,FALSE))),VLOOKUP($U40,Calendário!$L$122:$N$131,3,FALSE),IF(NOT(ISERROR(VLOOKUP($U40,Calendário!$P$122:$R$131,3,FALSE))),VLOOKUP($U40,Calendário!$P$122:$R$131,3,FALSE),IF(NOT(ISERROR(VLOOKUP($U40,Calendário!$T$122:$V$131,3,FALSE))),VLOOKUP($U40,Calendário!$T$122:$V$131,3,FALSE),"--")))))</f>
        <v>42788</v>
      </c>
      <c r="W40" t="str">
        <f>IF(NOT(ISERROR(VLOOKUP($U40,Calendário!$X$122:$Z$131,3,FALSE))),VLOOKUP($U40,Calendário!$X$122:$Z$131,3,FALSE),"--")</f>
        <v>--</v>
      </c>
      <c r="X40" s="209" t="str">
        <f>IF(NOT(ISERROR(VLOOKUP($U40,Calendário!$D$122:$F$131,2,FALSE))),VLOOKUP($U40,Calendário!$D$122:$F$131,2,FALSE),IF(NOT(ISERROR(VLOOKUP($U40,Calendário!$H$122:$J$131,2,FALSE))),VLOOKUP($U40,Calendário!$H$122:$J$131,2,FALSE),IF(NOT(ISERROR(VLOOKUP($U40,Calendário!$L$122:$N$131,2,FALSE))),VLOOKUP($U40,Calendário!$L$122:$N$131,2,FALSE),IF(NOT(ISERROR(VLOOKUP($U40,Calendário!$P$122:$R$131,2,FALSE))),VLOOKUP($U40,Calendário!$P$122:$R$131,2,FALSE),IF(NOT(ISERROR(VLOOKUP($U40,Calendário!$T$122:$V$131,2,FALSE))),VLOOKUP($U40,Calendário!$T$122:$V$131,2,FALSE),"--")))))</f>
        <v>14h30</v>
      </c>
      <c r="Y40" t="str">
        <f>IF(NOT(ISERROR(VLOOKUP($U40,Calendário!$X$7:$Z$51,2,FALSE))),VLOOKUP($U40,Calendário!$X$7:$Z$51,2,FALSE),"--")</f>
        <v>--</v>
      </c>
    </row>
    <row r="41" spans="2:26" ht="15" x14ac:dyDescent="0.2">
      <c r="B41" s="149" t="s">
        <v>37</v>
      </c>
      <c r="C41" s="253">
        <f t="shared" si="4"/>
        <v>42797</v>
      </c>
      <c r="D41" s="251" t="str">
        <f t="shared" si="5"/>
        <v>16h</v>
      </c>
      <c r="E41" s="254"/>
      <c r="F41" s="238" t="s">
        <v>96</v>
      </c>
      <c r="G41" s="148" t="e">
        <f>IF(#REF!&lt;&gt;"--",#REF!,#REF!)</f>
        <v>#REF!</v>
      </c>
      <c r="H41" s="39" t="e">
        <f>IF(#REF!&lt;&gt;"--",#REF!,#REF!)</f>
        <v>#REF!</v>
      </c>
      <c r="I41" s="110" t="s">
        <v>159</v>
      </c>
      <c r="J41" s="66" t="s">
        <v>96</v>
      </c>
      <c r="K41" s="148" t="e">
        <f>IF(#REF!&lt;&gt;"--",#REF!,#REF!)</f>
        <v>#REF!</v>
      </c>
      <c r="L41" s="39" t="e">
        <f>IF(#REF!&lt;&gt;"--",#REF!,#REF!)</f>
        <v>#REF!</v>
      </c>
      <c r="M41" s="66">
        <v>2.0099999999999998</v>
      </c>
      <c r="N41" s="66" t="s">
        <v>96</v>
      </c>
      <c r="O41" s="148" t="e">
        <f>IF(#REF!&lt;&gt;"--",#REF!,#REF!)</f>
        <v>#REF!</v>
      </c>
      <c r="P41" s="39" t="e">
        <f>IF(#REF!&lt;&gt;"--",#REF!,#REF!)</f>
        <v>#REF!</v>
      </c>
      <c r="Q41" s="66">
        <v>2.0099999999999998</v>
      </c>
      <c r="R41" s="66" t="s">
        <v>96</v>
      </c>
      <c r="S41" s="140"/>
      <c r="U41" s="57" t="s">
        <v>85</v>
      </c>
      <c r="V41" s="209">
        <f>IF(NOT(ISERROR(VLOOKUP($U41,Calendário!$D$122:$F$131,3,FALSE))),VLOOKUP($U41,Calendário!$D$122:$F$131,3,FALSE),IF(NOT(ISERROR(VLOOKUP($U41,Calendário!$H$122:$J$131,3,FALSE))),VLOOKUP($U41,Calendário!$H$122:$J$131,3,FALSE),IF(NOT(ISERROR(VLOOKUP($U41,Calendário!$L$122:$N$131,3,FALSE))),VLOOKUP($U41,Calendário!$L$122:$N$131,3,FALSE),IF(NOT(ISERROR(VLOOKUP($U41,Calendário!$P$122:$R$131,3,FALSE))),VLOOKUP($U41,Calendário!$P$122:$R$131,3,FALSE),IF(NOT(ISERROR(VLOOKUP($U41,Calendário!$T$122:$V$131,3,FALSE))),VLOOKUP($U41,Calendário!$T$122:$V$131,3,FALSE),"--")))))</f>
        <v>42797</v>
      </c>
      <c r="W41" t="str">
        <f>IF(NOT(ISERROR(VLOOKUP($U41,Calendário!$X$122:$Z$131,3,FALSE))),VLOOKUP($U41,Calendário!$X$122:$Z$131,3,FALSE),"--")</f>
        <v>--</v>
      </c>
      <c r="X41" s="209" t="str">
        <f>IF(NOT(ISERROR(VLOOKUP($U41,Calendário!$D$122:$F$131,2,FALSE))),VLOOKUP($U41,Calendário!$D$122:$F$131,2,FALSE),IF(NOT(ISERROR(VLOOKUP($U41,Calendário!$H$122:$J$131,2,FALSE))),VLOOKUP($U41,Calendário!$H$122:$J$131,2,FALSE),IF(NOT(ISERROR(VLOOKUP($U41,Calendário!$L$122:$N$131,2,FALSE))),VLOOKUP($U41,Calendário!$L$122:$N$131,2,FALSE),IF(NOT(ISERROR(VLOOKUP($U41,Calendário!$P$122:$R$131,2,FALSE))),VLOOKUP($U41,Calendário!$P$122:$R$131,2,FALSE),IF(NOT(ISERROR(VLOOKUP($U41,Calendário!$T$122:$V$131,2,FALSE))),VLOOKUP($U41,Calendário!$T$122:$V$131,2,FALSE),"--")))))</f>
        <v>16h</v>
      </c>
      <c r="Y41" t="str">
        <f>IF(NOT(ISERROR(VLOOKUP($U41,Calendário!$X$7:$Z$51,2,FALSE))),VLOOKUP($U41,Calendário!$X$7:$Z$51,2,FALSE),"--")</f>
        <v>--</v>
      </c>
    </row>
    <row r="42" spans="2:26" ht="15" x14ac:dyDescent="0.2">
      <c r="B42" s="149" t="s">
        <v>38</v>
      </c>
      <c r="C42" s="253">
        <f t="shared" si="4"/>
        <v>42793</v>
      </c>
      <c r="D42" s="251" t="str">
        <f t="shared" si="5"/>
        <v>14h30</v>
      </c>
      <c r="E42" s="254"/>
      <c r="F42" s="238" t="s">
        <v>149</v>
      </c>
      <c r="G42" s="148" t="e">
        <f>IF(#REF!&lt;&gt;"--",#REF!,#REF!)</f>
        <v>#REF!</v>
      </c>
      <c r="H42" s="39" t="e">
        <f>IF(#REF!&lt;&gt;"--",#REF!,#REF!)</f>
        <v>#REF!</v>
      </c>
      <c r="I42" s="116">
        <v>136</v>
      </c>
      <c r="J42" s="116" t="s">
        <v>149</v>
      </c>
      <c r="K42" s="148" t="e">
        <f>IF(#REF!&lt;&gt;"--",#REF!,#REF!)</f>
        <v>#REF!</v>
      </c>
      <c r="L42" s="39" t="e">
        <f>IF(#REF!&lt;&gt;"--",#REF!,#REF!)</f>
        <v>#REF!</v>
      </c>
      <c r="M42" s="66">
        <v>2.04</v>
      </c>
      <c r="N42" s="116" t="s">
        <v>149</v>
      </c>
      <c r="O42" s="148" t="e">
        <f>IF(#REF!&lt;&gt;"--",#REF!,#REF!)</f>
        <v>#REF!</v>
      </c>
      <c r="P42" s="39" t="e">
        <f>IF(#REF!&lt;&gt;"--",#REF!,#REF!)</f>
        <v>#REF!</v>
      </c>
      <c r="Q42" s="66">
        <v>2.04</v>
      </c>
      <c r="R42" s="116" t="s">
        <v>149</v>
      </c>
      <c r="S42" s="140"/>
      <c r="U42" s="57" t="s">
        <v>86</v>
      </c>
      <c r="V42" s="209">
        <f>IF(NOT(ISERROR(VLOOKUP($U42,Calendário!$D$122:$F$131,3,FALSE))),VLOOKUP($U42,Calendário!$D$122:$F$131,3,FALSE),IF(NOT(ISERROR(VLOOKUP($U42,Calendário!$H$122:$J$131,3,FALSE))),VLOOKUP($U42,Calendário!$H$122:$J$131,3,FALSE),IF(NOT(ISERROR(VLOOKUP($U42,Calendário!$L$122:$N$131,3,FALSE))),VLOOKUP($U42,Calendário!$L$122:$N$131,3,FALSE),IF(NOT(ISERROR(VLOOKUP($U42,Calendário!$P$122:$R$131,3,FALSE))),VLOOKUP($U42,Calendário!$P$122:$R$131,3,FALSE),IF(NOT(ISERROR(VLOOKUP($U42,Calendário!$T$122:$V$131,3,FALSE))),VLOOKUP($U42,Calendário!$T$122:$V$131,3,FALSE),"--")))))</f>
        <v>42793</v>
      </c>
      <c r="W42" t="str">
        <f>IF(NOT(ISERROR(VLOOKUP($U42,Calendário!$X$122:$Z$131,3,FALSE))),VLOOKUP($U42,Calendário!$X$122:$Z$131,3,FALSE),"--")</f>
        <v>--</v>
      </c>
      <c r="X42" s="209" t="str">
        <f>IF(NOT(ISERROR(VLOOKUP($U42,Calendário!$D$122:$F$131,2,FALSE))),VLOOKUP($U42,Calendário!$D$122:$F$131,2,FALSE),IF(NOT(ISERROR(VLOOKUP($U42,Calendário!$H$122:$J$131,2,FALSE))),VLOOKUP($U42,Calendário!$H$122:$J$131,2,FALSE),IF(NOT(ISERROR(VLOOKUP($U42,Calendário!$L$122:$N$131,2,FALSE))),VLOOKUP($U42,Calendário!$L$122:$N$131,2,FALSE),IF(NOT(ISERROR(VLOOKUP($U42,Calendário!$P$122:$R$131,2,FALSE))),VLOOKUP($U42,Calendário!$P$122:$R$131,2,FALSE),IF(NOT(ISERROR(VLOOKUP($U42,Calendário!$T$122:$V$131,2,FALSE))),VLOOKUP($U42,Calendário!$T$122:$V$131,2,FALSE),"--")))))</f>
        <v>14h30</v>
      </c>
      <c r="Y42" t="str">
        <f>IF(NOT(ISERROR(VLOOKUP($U42,Calendário!$X$7:$Z$51,2,FALSE))),VLOOKUP($U42,Calendário!$X$7:$Z$51,2,FALSE),"--")</f>
        <v>--</v>
      </c>
    </row>
    <row r="43" spans="2:26" ht="15" x14ac:dyDescent="0.2">
      <c r="V43" s="209"/>
      <c r="X43" s="209"/>
    </row>
    <row r="44" spans="2:26" ht="174.75" customHeight="1" x14ac:dyDescent="0.2">
      <c r="B44" s="292" t="s">
        <v>181</v>
      </c>
      <c r="C44" s="292"/>
      <c r="D44" s="292"/>
      <c r="E44" s="292"/>
      <c r="F44" s="292"/>
      <c r="V44" s="209"/>
      <c r="X44" s="209"/>
    </row>
    <row r="45" spans="2:26" ht="15" x14ac:dyDescent="0.2">
      <c r="F45" s="37"/>
      <c r="V45" s="209"/>
      <c r="X45" s="209"/>
    </row>
    <row r="46" spans="2:26" ht="15" x14ac:dyDescent="0.2">
      <c r="V46" s="209"/>
      <c r="X46" s="209"/>
    </row>
    <row r="47" spans="2:26" ht="15" x14ac:dyDescent="0.2">
      <c r="B47" s="67" t="b">
        <v>1</v>
      </c>
      <c r="V47" s="209"/>
      <c r="X47" s="209"/>
    </row>
    <row r="48" spans="2:26" ht="15" x14ac:dyDescent="0.2">
      <c r="B48" s="67" t="b">
        <v>0</v>
      </c>
      <c r="D48" s="91"/>
      <c r="U48" t="s">
        <v>66</v>
      </c>
      <c r="V48" s="209">
        <f>IF(NOT(ISERROR(VLOOKUP($U48,Calendário!$D$122:$F$131,3,FALSE))),VLOOKUP($U48,Calendário!$D$122:$F$131,3,FALSE),IF(NOT(ISERROR(VLOOKUP($U48,Calendário!$H$122:$J$131,3,FALSE))),VLOOKUP($U48,Calendário!$H$122:$J$131,3,FALSE),IF(NOT(ISERROR(VLOOKUP($U48,Calendário!$L$122:$N$131,3,FALSE))),VLOOKUP($U48,Calendário!$L$122:$N$131,3,FALSE),IF(NOT(ISERROR(VLOOKUP($U48,Calendário!$P$122:$R$131,3,FALSE))),VLOOKUP($U48,Calendário!$P$122:$R$131,3,FALSE),IF(NOT(ISERROR(VLOOKUP($U48,Calendário!$T$122:$V$131,3,FALSE))),VLOOKUP($U48,Calendário!$T$122:$V$131,3,FALSE),"--")))))</f>
        <v>42790</v>
      </c>
      <c r="W48" t="str">
        <f>IF(NOT(ISERROR(VLOOKUP($U48,Calendário!$X$122:$Z$131,3,FALSE))),VLOOKUP($U48,Calendário!$X$122:$Z$131,3,FALSE),"--")</f>
        <v>--</v>
      </c>
      <c r="X48" s="209" t="str">
        <f>IF(NOT(ISERROR(VLOOKUP($U48,Calendário!$D$122:$F$131,2,FALSE))),VLOOKUP($U48,Calendário!$D$122:$F$131,2,FALSE),IF(NOT(ISERROR(VLOOKUP($U48,Calendário!$H$122:$J$131,2,FALSE))),VLOOKUP($U48,Calendário!$H$122:$J$131,2,FALSE),IF(NOT(ISERROR(VLOOKUP($U48,Calendário!$L$122:$N$131,2,FALSE))),VLOOKUP($U48,Calendário!$L$122:$N$131,2,FALSE),IF(NOT(ISERROR(VLOOKUP($U48,Calendário!$P$122:$R$131,2,FALSE))),VLOOKUP($U48,Calendário!$P$122:$R$131,2,FALSE),IF(NOT(ISERROR(VLOOKUP($U48,Calendário!$T$122:$V$131,2,FALSE))),VLOOKUP($U48,Calendário!$T$122:$V$131,2,FALSE),"--")))))</f>
        <v>14h30</v>
      </c>
      <c r="Y48" t="str">
        <f>IF(NOT(ISERROR(VLOOKUP($U48,Calendário!$X$7:$Z$51,2,FALSE))),VLOOKUP($U48,Calendário!$X$7:$Z$51,2,FALSE),"--")</f>
        <v>--</v>
      </c>
      <c r="Z48" s="57" t="s">
        <v>90</v>
      </c>
    </row>
    <row r="49" spans="2:26" ht="15" x14ac:dyDescent="0.2">
      <c r="B49" s="67"/>
      <c r="U49" t="s">
        <v>66</v>
      </c>
      <c r="V49" s="209">
        <f>IF(NOT(ISERROR(VLOOKUP($U49,Calendário!$D$122:$F$131,3,FALSE))),VLOOKUP($U49,Calendário!$D$122:$F$131,3,FALSE),IF(NOT(ISERROR(VLOOKUP($U49,Calendário!$H$122:$J$131,3,FALSE))),VLOOKUP($U49,Calendário!$H$122:$J$131,3,FALSE),IF(NOT(ISERROR(VLOOKUP($U49,Calendário!$L$122:$N$131,3,FALSE))),VLOOKUP($U49,Calendário!$L$122:$N$131,3,FALSE),IF(NOT(ISERROR(VLOOKUP($U49,Calendário!$P$122:$R$131,3,FALSE))),VLOOKUP($U49,Calendário!$P$122:$R$131,3,FALSE),IF(NOT(ISERROR(VLOOKUP($U49,Calendário!$T$122:$V$131,3,FALSE))),VLOOKUP($U49,Calendário!$T$122:$V$131,3,FALSE),"--")))))</f>
        <v>42790</v>
      </c>
      <c r="W49" t="str">
        <f>IF(NOT(ISERROR(VLOOKUP($U49,Calendário!$X$122:$Z$131,3,FALSE))),VLOOKUP($U49,Calendário!$X$122:$Z$131,3,FALSE),"--")</f>
        <v>--</v>
      </c>
      <c r="X49" s="209" t="str">
        <f>IF(NOT(ISERROR(VLOOKUP($U49,Calendário!$D$122:$F$131,2,FALSE))),VLOOKUP($U49,Calendário!$D$122:$F$131,2,FALSE),IF(NOT(ISERROR(VLOOKUP($U49,Calendário!$H$122:$J$131,2,FALSE))),VLOOKUP($U49,Calendário!$H$122:$J$131,2,FALSE),IF(NOT(ISERROR(VLOOKUP($U49,Calendário!$L$122:$N$131,2,FALSE))),VLOOKUP($U49,Calendário!$L$122:$N$131,2,FALSE),IF(NOT(ISERROR(VLOOKUP($U49,Calendário!$P$122:$R$131,2,FALSE))),VLOOKUP($U49,Calendário!$P$122:$R$131,2,FALSE),IF(NOT(ISERROR(VLOOKUP($U49,Calendário!$T$122:$V$131,2,FALSE))),VLOOKUP($U49,Calendário!$T$122:$V$131,2,FALSE),"--")))))</f>
        <v>14h30</v>
      </c>
      <c r="Y49" t="str">
        <f>IF(NOT(ISERROR(VLOOKUP($U49,Calendário!$X$7:$Z$51,2,FALSE))),VLOOKUP($U49,Calendário!$X$7:$Z$51,2,FALSE),"--")</f>
        <v>--</v>
      </c>
      <c r="Z49" s="57" t="s">
        <v>91</v>
      </c>
    </row>
    <row r="50" spans="2:26" ht="15" x14ac:dyDescent="0.2">
      <c r="B50" s="67" t="b">
        <v>0</v>
      </c>
      <c r="U50" t="s">
        <v>65</v>
      </c>
      <c r="V50" s="209">
        <f>IF(NOT(ISERROR(VLOOKUP($U50,Calendário!$D$122:$F$131,3,FALSE))),VLOOKUP($U50,Calendário!$D$122:$F$131,3,FALSE),IF(NOT(ISERROR(VLOOKUP($U50,Calendário!$H$122:$J$131,3,FALSE))),VLOOKUP($U50,Calendário!$H$122:$J$131,3,FALSE),IF(NOT(ISERROR(VLOOKUP($U50,Calendário!$L$122:$N$131,3,FALSE))),VLOOKUP($U50,Calendário!$L$122:$N$131,3,FALSE),IF(NOT(ISERROR(VLOOKUP($U50,Calendário!$P$122:$R$131,3,FALSE))),VLOOKUP($U50,Calendário!$P$122:$R$131,3,FALSE),IF(NOT(ISERROR(VLOOKUP($U50,Calendário!$T$122:$V$131,3,FALSE))),VLOOKUP($U50,Calendário!$T$122:$V$131,3,FALSE),"--")))))</f>
        <v>42793</v>
      </c>
      <c r="W50" t="str">
        <f>IF(NOT(ISERROR(VLOOKUP($U50,Calendário!$X$122:$Z$131,3,FALSE))),VLOOKUP($U50,Calendário!$X$122:$Z$131,3,FALSE),"--")</f>
        <v>--</v>
      </c>
      <c r="X50" s="209" t="str">
        <f>IF(NOT(ISERROR(VLOOKUP($U50,Calendário!$D$122:$F$131,2,FALSE))),VLOOKUP($U50,Calendário!$D$122:$F$131,2,FALSE),IF(NOT(ISERROR(VLOOKUP($U50,Calendário!$H$122:$J$131,2,FALSE))),VLOOKUP($U50,Calendário!$H$122:$J$131,2,FALSE),IF(NOT(ISERROR(VLOOKUP($U50,Calendário!$L$122:$N$131,2,FALSE))),VLOOKUP($U50,Calendário!$L$122:$N$131,2,FALSE),IF(NOT(ISERROR(VLOOKUP($U50,Calendário!$P$122:$R$131,2,FALSE))),VLOOKUP($U50,Calendário!$P$122:$R$131,2,FALSE),IF(NOT(ISERROR(VLOOKUP($U50,Calendário!$T$122:$V$131,2,FALSE))),VLOOKUP($U50,Calendário!$T$122:$V$131,2,FALSE),"--")))))</f>
        <v>14h30</v>
      </c>
      <c r="Y50" t="str">
        <f>IF(NOT(ISERROR(VLOOKUP($U50,Calendário!$X$7:$Z$51,2,FALSE))),VLOOKUP($U50,Calendário!$X$7:$Z$51,2,FALSE),"--")</f>
        <v>--</v>
      </c>
      <c r="Z50" s="57" t="s">
        <v>90</v>
      </c>
    </row>
    <row r="51" spans="2:26" ht="15" x14ac:dyDescent="0.2">
      <c r="B51" s="67" t="b">
        <v>0</v>
      </c>
      <c r="U51" t="s">
        <v>65</v>
      </c>
      <c r="V51" s="209">
        <f>IF(NOT(ISERROR(VLOOKUP($U51,Calendário!$D$122:$F$131,3,FALSE))),VLOOKUP($U51,Calendário!$D$122:$F$131,3,FALSE),IF(NOT(ISERROR(VLOOKUP($U51,Calendário!$H$122:$J$131,3,FALSE))),VLOOKUP($U51,Calendário!$H$122:$J$131,3,FALSE),IF(NOT(ISERROR(VLOOKUP($U51,Calendário!$L$122:$N$131,3,FALSE))),VLOOKUP($U51,Calendário!$L$122:$N$131,3,FALSE),IF(NOT(ISERROR(VLOOKUP($U51,Calendário!$P$122:$R$131,3,FALSE))),VLOOKUP($U51,Calendário!$P$122:$R$131,3,FALSE),IF(NOT(ISERROR(VLOOKUP($U51,Calendário!$T$122:$V$131,3,FALSE))),VLOOKUP($U51,Calendário!$T$122:$V$131,3,FALSE),"--")))))</f>
        <v>42793</v>
      </c>
      <c r="W51" t="str">
        <f>IF(NOT(ISERROR(VLOOKUP($U51,Calendário!$X$122:$Z$131,3,FALSE))),VLOOKUP($U51,Calendário!$X$122:$Z$131,3,FALSE),"--")</f>
        <v>--</v>
      </c>
      <c r="X51" s="209" t="str">
        <f>IF(NOT(ISERROR(VLOOKUP($U51,Calendário!$D$122:$F$131,2,FALSE))),VLOOKUP($U51,Calendário!$D$122:$F$131,2,FALSE),IF(NOT(ISERROR(VLOOKUP($U51,Calendário!$H$122:$J$131,2,FALSE))),VLOOKUP($U51,Calendário!$H$122:$J$131,2,FALSE),IF(NOT(ISERROR(VLOOKUP($U51,Calendário!$L$122:$N$131,2,FALSE))),VLOOKUP($U51,Calendário!$L$122:$N$131,2,FALSE),IF(NOT(ISERROR(VLOOKUP($U51,Calendário!$P$122:$R$131,2,FALSE))),VLOOKUP($U51,Calendário!$P$122:$R$131,2,FALSE),IF(NOT(ISERROR(VLOOKUP($U51,Calendário!$T$122:$V$131,2,FALSE))),VLOOKUP($U51,Calendário!$T$122:$V$131,2,FALSE),"--")))))</f>
        <v>14h30</v>
      </c>
      <c r="Y51" t="str">
        <f>IF(NOT(ISERROR(VLOOKUP($U51,Calendário!$X$7:$Z$51,2,FALSE))),VLOOKUP($U51,Calendário!$X$7:$Z$51,2,FALSE),"--")</f>
        <v>--</v>
      </c>
      <c r="Z51" s="57" t="s">
        <v>91</v>
      </c>
    </row>
    <row r="52" spans="2:26" x14ac:dyDescent="0.2">
      <c r="B52" s="67"/>
    </row>
    <row r="53" spans="2:26" x14ac:dyDescent="0.2">
      <c r="B53" s="67" t="b">
        <v>1</v>
      </c>
    </row>
    <row r="54" spans="2:26" x14ac:dyDescent="0.2">
      <c r="B54" s="67" t="b">
        <v>1</v>
      </c>
    </row>
  </sheetData>
  <mergeCells count="16">
    <mergeCell ref="B5:F5"/>
    <mergeCell ref="B44:F44"/>
    <mergeCell ref="B1:R1"/>
    <mergeCell ref="B2:R2"/>
    <mergeCell ref="U2:W2"/>
    <mergeCell ref="B3:Q3"/>
    <mergeCell ref="B4:R4"/>
    <mergeCell ref="X10:Y10"/>
    <mergeCell ref="V10:W10"/>
    <mergeCell ref="B6:P6"/>
    <mergeCell ref="B7:Q7"/>
    <mergeCell ref="B9:B10"/>
    <mergeCell ref="C9:F9"/>
    <mergeCell ref="G9:J9"/>
    <mergeCell ref="K9:N9"/>
    <mergeCell ref="O9:R9"/>
  </mergeCells>
  <printOptions horizontalCentered="1" verticalCentered="1"/>
  <pageMargins left="0.25" right="0.25" top="0.75" bottom="0.75" header="0.3" footer="0.3"/>
  <pageSetup paperSize="9" scale="96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Docentes">
          <controlPr defaultSize="0" autoLine="0" linkedCell="B53" r:id="rId5">
            <anchor moveWithCells="1">
              <from>
                <xdr:col>1</xdr:col>
                <xdr:colOff>838200</xdr:colOff>
                <xdr:row>52</xdr:row>
                <xdr:rowOff>66675</xdr:rowOff>
              </from>
              <to>
                <xdr:col>1</xdr:col>
                <xdr:colOff>1885950</xdr:colOff>
                <xdr:row>54</xdr:row>
                <xdr:rowOff>57150</xdr:rowOff>
              </to>
            </anchor>
          </controlPr>
        </control>
      </mc:Choice>
      <mc:Fallback>
        <control shapeId="3073" r:id="rId4" name="Docentes"/>
      </mc:Fallback>
    </mc:AlternateContent>
    <mc:AlternateContent xmlns:mc="http://schemas.openxmlformats.org/markup-compatibility/2006">
      <mc:Choice Requires="x14">
        <control shapeId="3074" r:id="rId6" name="Teste1">
          <controlPr defaultSize="0" autoLine="0" linkedCell="B47" r:id="rId7">
            <anchor moveWithCells="1">
              <from>
                <xdr:col>1</xdr:col>
                <xdr:colOff>838200</xdr:colOff>
                <xdr:row>46</xdr:row>
                <xdr:rowOff>95250</xdr:rowOff>
              </from>
              <to>
                <xdr:col>1</xdr:col>
                <xdr:colOff>2152650</xdr:colOff>
                <xdr:row>48</xdr:row>
                <xdr:rowOff>47625</xdr:rowOff>
              </to>
            </anchor>
          </controlPr>
        </control>
      </mc:Choice>
      <mc:Fallback>
        <control shapeId="3074" r:id="rId6" name="Teste1"/>
      </mc:Fallback>
    </mc:AlternateContent>
    <mc:AlternateContent xmlns:mc="http://schemas.openxmlformats.org/markup-compatibility/2006">
      <mc:Choice Requires="x14">
        <control shapeId="3075" r:id="rId8" name="Teste2">
          <controlPr defaultSize="0" autoLine="0" linkedCell="B48" r:id="rId9">
            <anchor moveWithCells="1">
              <from>
                <xdr:col>1</xdr:col>
                <xdr:colOff>2257425</xdr:colOff>
                <xdr:row>46</xdr:row>
                <xdr:rowOff>95250</xdr:rowOff>
              </from>
              <to>
                <xdr:col>2</xdr:col>
                <xdr:colOff>152400</xdr:colOff>
                <xdr:row>48</xdr:row>
                <xdr:rowOff>47625</xdr:rowOff>
              </to>
            </anchor>
          </controlPr>
        </control>
      </mc:Choice>
      <mc:Fallback>
        <control shapeId="3075" r:id="rId8" name="Teste2"/>
      </mc:Fallback>
    </mc:AlternateContent>
    <mc:AlternateContent xmlns:mc="http://schemas.openxmlformats.org/markup-compatibility/2006">
      <mc:Choice Requires="x14">
        <control shapeId="3076" r:id="rId10" name="Exame1">
          <controlPr defaultSize="0" autoLine="0" linkedCell="B50" r:id="rId11">
            <anchor moveWithCells="1">
              <from>
                <xdr:col>1</xdr:col>
                <xdr:colOff>847725</xdr:colOff>
                <xdr:row>49</xdr:row>
                <xdr:rowOff>85725</xdr:rowOff>
              </from>
              <to>
                <xdr:col>1</xdr:col>
                <xdr:colOff>2038350</xdr:colOff>
                <xdr:row>51</xdr:row>
                <xdr:rowOff>9525</xdr:rowOff>
              </to>
            </anchor>
          </controlPr>
        </control>
      </mc:Choice>
      <mc:Fallback>
        <control shapeId="3076" r:id="rId10" name="Exame1"/>
      </mc:Fallback>
    </mc:AlternateContent>
    <mc:AlternateContent xmlns:mc="http://schemas.openxmlformats.org/markup-compatibility/2006">
      <mc:Choice Requires="x14">
        <control shapeId="3077" r:id="rId12" name="Exame2">
          <controlPr defaultSize="0" autoLine="0" linkedCell="B51" r:id="rId13">
            <anchor moveWithCells="1">
              <from>
                <xdr:col>1</xdr:col>
                <xdr:colOff>2209800</xdr:colOff>
                <xdr:row>49</xdr:row>
                <xdr:rowOff>85725</xdr:rowOff>
              </from>
              <to>
                <xdr:col>2</xdr:col>
                <xdr:colOff>85725</xdr:colOff>
                <xdr:row>51</xdr:row>
                <xdr:rowOff>28575</xdr:rowOff>
              </to>
            </anchor>
          </controlPr>
        </control>
      </mc:Choice>
      <mc:Fallback>
        <control shapeId="3077" r:id="rId12" name="Exame2"/>
      </mc:Fallback>
    </mc:AlternateContent>
    <mc:AlternateContent xmlns:mc="http://schemas.openxmlformats.org/markup-compatibility/2006">
      <mc:Choice Requires="x14">
        <control shapeId="3078" r:id="rId14" name="Salas">
          <controlPr defaultSize="0" autoLine="0" linkedCell="B54" r:id="rId15">
            <anchor moveWithCells="1">
              <from>
                <xdr:col>1</xdr:col>
                <xdr:colOff>2200275</xdr:colOff>
                <xdr:row>52</xdr:row>
                <xdr:rowOff>66675</xdr:rowOff>
              </from>
              <to>
                <xdr:col>1</xdr:col>
                <xdr:colOff>3248025</xdr:colOff>
                <xdr:row>54</xdr:row>
                <xdr:rowOff>57150</xdr:rowOff>
              </to>
            </anchor>
          </controlPr>
        </control>
      </mc:Choice>
      <mc:Fallback>
        <control shapeId="3078" r:id="rId14" name="Sala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O32"/>
  <sheetViews>
    <sheetView workbookViewId="0">
      <pane ySplit="1" topLeftCell="A2" activePane="bottomLeft" state="frozen"/>
      <selection pane="bottomLeft" activeCell="A9" sqref="A9"/>
    </sheetView>
  </sheetViews>
  <sheetFormatPr defaultRowHeight="12.75" x14ac:dyDescent="0.2"/>
  <cols>
    <col min="1" max="1" width="33.140625" customWidth="1"/>
  </cols>
  <sheetData>
    <row r="1" spans="1:15" x14ac:dyDescent="0.2">
      <c r="A1" s="103"/>
      <c r="B1" s="293" t="s">
        <v>126</v>
      </c>
      <c r="C1" s="293"/>
      <c r="D1" s="293" t="s">
        <v>127</v>
      </c>
      <c r="E1" s="293"/>
      <c r="F1" s="293" t="s">
        <v>128</v>
      </c>
      <c r="G1" s="293"/>
      <c r="H1" s="293" t="s">
        <v>129</v>
      </c>
      <c r="I1" s="293"/>
      <c r="J1" s="294" t="s">
        <v>132</v>
      </c>
      <c r="K1" s="295"/>
    </row>
    <row r="2" spans="1:15" x14ac:dyDescent="0.2">
      <c r="A2" s="103"/>
      <c r="B2" s="107" t="s">
        <v>130</v>
      </c>
      <c r="C2" s="104" t="s">
        <v>131</v>
      </c>
      <c r="D2" s="107" t="s">
        <v>130</v>
      </c>
      <c r="E2" s="104" t="s">
        <v>131</v>
      </c>
      <c r="F2" s="107" t="s">
        <v>130</v>
      </c>
      <c r="G2" s="104" t="s">
        <v>131</v>
      </c>
      <c r="H2" s="107" t="s">
        <v>130</v>
      </c>
      <c r="I2" s="104" t="s">
        <v>131</v>
      </c>
      <c r="J2" s="107" t="s">
        <v>130</v>
      </c>
      <c r="K2" s="106" t="s">
        <v>131</v>
      </c>
      <c r="L2" s="109" t="s">
        <v>132</v>
      </c>
    </row>
    <row r="3" spans="1:15" x14ac:dyDescent="0.2">
      <c r="A3" s="103" t="s">
        <v>112</v>
      </c>
      <c r="B3" s="130"/>
      <c r="C3" s="131"/>
      <c r="D3" s="133"/>
      <c r="E3" s="134"/>
      <c r="F3" s="138"/>
      <c r="G3" s="139"/>
      <c r="H3" s="136"/>
      <c r="I3" s="137"/>
      <c r="J3" s="108">
        <f>SUM(B3,D3,F3,H3)</f>
        <v>0</v>
      </c>
      <c r="K3" s="103">
        <f>SUM(C3,E3,G3,I3)</f>
        <v>0</v>
      </c>
      <c r="L3">
        <f>J3+K3</f>
        <v>0</v>
      </c>
    </row>
    <row r="4" spans="1:15" x14ac:dyDescent="0.2">
      <c r="A4" s="103" t="s">
        <v>111</v>
      </c>
      <c r="B4" s="130"/>
      <c r="C4" s="131"/>
      <c r="D4" s="133"/>
      <c r="E4" s="134"/>
      <c r="F4" s="138"/>
      <c r="G4" s="139"/>
      <c r="H4" s="136"/>
      <c r="I4" s="137"/>
      <c r="J4" s="108">
        <f t="shared" ref="J4:J29" si="0">SUM(B4,D4,F4,H4)</f>
        <v>0</v>
      </c>
      <c r="K4" s="103">
        <f t="shared" ref="K4:K29" si="1">SUM(C4,E4,G4,I4)</f>
        <v>0</v>
      </c>
      <c r="L4">
        <f t="shared" ref="L4:L29" si="2">J4+K4</f>
        <v>0</v>
      </c>
      <c r="O4" s="141" t="s">
        <v>145</v>
      </c>
    </row>
    <row r="5" spans="1:15" x14ac:dyDescent="0.2">
      <c r="A5" s="103" t="s">
        <v>113</v>
      </c>
      <c r="B5" s="130"/>
      <c r="C5" s="132"/>
      <c r="D5" s="133"/>
      <c r="E5" s="134"/>
      <c r="F5" s="138"/>
      <c r="G5" s="139"/>
      <c r="H5" s="136"/>
      <c r="I5" s="137"/>
      <c r="J5" s="108">
        <f t="shared" si="0"/>
        <v>0</v>
      </c>
      <c r="K5" s="103">
        <f t="shared" si="1"/>
        <v>0</v>
      </c>
      <c r="L5">
        <f t="shared" si="2"/>
        <v>0</v>
      </c>
      <c r="O5" s="141" t="s">
        <v>154</v>
      </c>
    </row>
    <row r="6" spans="1:15" x14ac:dyDescent="0.2">
      <c r="A6" s="103" t="s">
        <v>110</v>
      </c>
      <c r="B6" s="130"/>
      <c r="C6" s="131"/>
      <c r="D6" s="133"/>
      <c r="E6" s="134"/>
      <c r="F6" s="138"/>
      <c r="G6" s="139"/>
      <c r="H6" s="136"/>
      <c r="I6" s="137"/>
      <c r="J6" s="108">
        <f t="shared" si="0"/>
        <v>0</v>
      </c>
      <c r="K6" s="103">
        <f t="shared" si="1"/>
        <v>0</v>
      </c>
      <c r="L6">
        <f t="shared" si="2"/>
        <v>0</v>
      </c>
      <c r="O6" s="141" t="s">
        <v>151</v>
      </c>
    </row>
    <row r="7" spans="1:15" x14ac:dyDescent="0.2">
      <c r="A7" s="103" t="s">
        <v>101</v>
      </c>
      <c r="B7" s="130"/>
      <c r="C7" s="131"/>
      <c r="D7" s="133"/>
      <c r="E7" s="134"/>
      <c r="F7" s="138"/>
      <c r="G7" s="139"/>
      <c r="H7" s="136"/>
      <c r="I7" s="137"/>
      <c r="J7" s="108">
        <f t="shared" si="0"/>
        <v>0</v>
      </c>
      <c r="K7" s="103">
        <f t="shared" si="1"/>
        <v>0</v>
      </c>
      <c r="L7">
        <f t="shared" si="2"/>
        <v>0</v>
      </c>
      <c r="O7" s="141" t="s">
        <v>146</v>
      </c>
    </row>
    <row r="8" spans="1:15" x14ac:dyDescent="0.2">
      <c r="A8" s="103" t="s">
        <v>108</v>
      </c>
      <c r="B8" s="130"/>
      <c r="C8" s="131"/>
      <c r="D8" s="133"/>
      <c r="E8" s="134"/>
      <c r="F8" s="138"/>
      <c r="G8" s="139"/>
      <c r="H8" s="136"/>
      <c r="I8" s="137"/>
      <c r="J8" s="108">
        <f t="shared" si="0"/>
        <v>0</v>
      </c>
      <c r="K8" s="103">
        <f t="shared" si="1"/>
        <v>0</v>
      </c>
      <c r="L8">
        <f t="shared" si="2"/>
        <v>0</v>
      </c>
      <c r="O8" s="142" t="s">
        <v>143</v>
      </c>
    </row>
    <row r="9" spans="1:15" x14ac:dyDescent="0.2">
      <c r="A9" s="103" t="s">
        <v>114</v>
      </c>
      <c r="B9" s="130"/>
      <c r="C9" s="131"/>
      <c r="D9" s="133"/>
      <c r="E9" s="134"/>
      <c r="F9" s="138"/>
      <c r="G9" s="139"/>
      <c r="H9" s="136"/>
      <c r="I9" s="137"/>
      <c r="J9" s="108">
        <f t="shared" si="0"/>
        <v>0</v>
      </c>
      <c r="K9" s="103">
        <f t="shared" si="1"/>
        <v>0</v>
      </c>
      <c r="L9">
        <f t="shared" si="2"/>
        <v>0</v>
      </c>
      <c r="O9" s="141" t="s">
        <v>147</v>
      </c>
    </row>
    <row r="10" spans="1:15" x14ac:dyDescent="0.2">
      <c r="A10" s="103" t="s">
        <v>103</v>
      </c>
      <c r="B10" s="130"/>
      <c r="C10" s="131"/>
      <c r="D10" s="133"/>
      <c r="E10" s="135"/>
      <c r="F10" s="138"/>
      <c r="G10" s="139"/>
      <c r="H10" s="136"/>
      <c r="I10" s="137"/>
      <c r="J10" s="108">
        <f t="shared" si="0"/>
        <v>0</v>
      </c>
      <c r="K10" s="103">
        <f t="shared" si="1"/>
        <v>0</v>
      </c>
      <c r="L10">
        <f t="shared" si="2"/>
        <v>0</v>
      </c>
    </row>
    <row r="11" spans="1:15" x14ac:dyDescent="0.2">
      <c r="A11" s="103" t="s">
        <v>115</v>
      </c>
      <c r="B11" s="130"/>
      <c r="C11" s="131"/>
      <c r="D11" s="133"/>
      <c r="E11" s="134"/>
      <c r="F11" s="138"/>
      <c r="G11" s="139"/>
      <c r="H11" s="136"/>
      <c r="I11" s="137"/>
      <c r="J11" s="108">
        <f t="shared" si="0"/>
        <v>0</v>
      </c>
      <c r="K11" s="103">
        <f t="shared" si="1"/>
        <v>0</v>
      </c>
      <c r="L11">
        <f t="shared" si="2"/>
        <v>0</v>
      </c>
    </row>
    <row r="12" spans="1:15" x14ac:dyDescent="0.2">
      <c r="A12" s="103" t="s">
        <v>116</v>
      </c>
      <c r="B12" s="130"/>
      <c r="C12" s="131"/>
      <c r="D12" s="133"/>
      <c r="E12" s="134"/>
      <c r="F12" s="138"/>
      <c r="G12" s="139"/>
      <c r="H12" s="136"/>
      <c r="I12" s="137"/>
      <c r="J12" s="108">
        <f t="shared" si="0"/>
        <v>0</v>
      </c>
      <c r="K12" s="103">
        <f t="shared" si="1"/>
        <v>0</v>
      </c>
      <c r="L12">
        <f t="shared" si="2"/>
        <v>0</v>
      </c>
      <c r="O12" s="112" t="s">
        <v>148</v>
      </c>
    </row>
    <row r="13" spans="1:15" x14ac:dyDescent="0.2">
      <c r="A13" s="103" t="s">
        <v>117</v>
      </c>
      <c r="B13" s="130"/>
      <c r="C13" s="131"/>
      <c r="D13" s="133"/>
      <c r="E13" s="134"/>
      <c r="F13" s="138"/>
      <c r="G13" s="139"/>
      <c r="H13" s="136"/>
      <c r="I13" s="137"/>
      <c r="J13" s="108">
        <f t="shared" si="0"/>
        <v>0</v>
      </c>
      <c r="K13" s="103">
        <f t="shared" si="1"/>
        <v>0</v>
      </c>
      <c r="L13">
        <f t="shared" si="2"/>
        <v>0</v>
      </c>
      <c r="O13" s="143" t="s">
        <v>103</v>
      </c>
    </row>
    <row r="14" spans="1:15" x14ac:dyDescent="0.2">
      <c r="A14" s="103" t="s">
        <v>118</v>
      </c>
      <c r="B14" s="130"/>
      <c r="C14" s="131"/>
      <c r="D14" s="133"/>
      <c r="E14" s="134"/>
      <c r="F14" s="138"/>
      <c r="G14" s="139"/>
      <c r="H14" s="136"/>
      <c r="I14" s="137"/>
      <c r="J14" s="108">
        <f t="shared" si="0"/>
        <v>0</v>
      </c>
      <c r="K14" s="103">
        <f t="shared" si="1"/>
        <v>0</v>
      </c>
      <c r="L14">
        <f t="shared" si="2"/>
        <v>0</v>
      </c>
      <c r="O14" s="143" t="s">
        <v>152</v>
      </c>
    </row>
    <row r="15" spans="1:15" x14ac:dyDescent="0.2">
      <c r="A15" s="103" t="s">
        <v>119</v>
      </c>
      <c r="B15" s="130"/>
      <c r="C15" s="131"/>
      <c r="D15" s="133"/>
      <c r="E15" s="134"/>
      <c r="F15" s="138"/>
      <c r="G15" s="139"/>
      <c r="H15" s="136"/>
      <c r="I15" s="137"/>
      <c r="J15" s="108">
        <f t="shared" si="0"/>
        <v>0</v>
      </c>
      <c r="K15" s="103">
        <f t="shared" si="1"/>
        <v>0</v>
      </c>
      <c r="L15">
        <f t="shared" si="2"/>
        <v>0</v>
      </c>
      <c r="O15" s="112" t="s">
        <v>95</v>
      </c>
    </row>
    <row r="16" spans="1:15" x14ac:dyDescent="0.2">
      <c r="A16" s="103" t="s">
        <v>120</v>
      </c>
      <c r="B16" s="130"/>
      <c r="C16" s="131"/>
      <c r="D16" s="133"/>
      <c r="E16" s="134"/>
      <c r="F16" s="138"/>
      <c r="G16" s="139"/>
      <c r="H16" s="136"/>
      <c r="I16" s="137"/>
      <c r="J16" s="108">
        <f t="shared" si="0"/>
        <v>0</v>
      </c>
      <c r="K16" s="103">
        <f t="shared" si="1"/>
        <v>0</v>
      </c>
      <c r="L16">
        <f t="shared" si="2"/>
        <v>0</v>
      </c>
      <c r="O16" s="112" t="s">
        <v>133</v>
      </c>
    </row>
    <row r="17" spans="1:15" x14ac:dyDescent="0.2">
      <c r="A17" s="103" t="s">
        <v>100</v>
      </c>
      <c r="B17" s="130"/>
      <c r="C17" s="131"/>
      <c r="D17" s="133"/>
      <c r="E17" s="134"/>
      <c r="F17" s="138"/>
      <c r="G17" s="139"/>
      <c r="H17" s="136"/>
      <c r="I17" s="137"/>
      <c r="J17" s="108">
        <f t="shared" si="0"/>
        <v>0</v>
      </c>
      <c r="K17" s="103">
        <f t="shared" si="1"/>
        <v>0</v>
      </c>
      <c r="L17">
        <f t="shared" si="2"/>
        <v>0</v>
      </c>
      <c r="O17" s="112" t="s">
        <v>102</v>
      </c>
    </row>
    <row r="18" spans="1:15" x14ac:dyDescent="0.2">
      <c r="A18" s="103" t="s">
        <v>121</v>
      </c>
      <c r="B18" s="130"/>
      <c r="C18" s="131"/>
      <c r="D18" s="133"/>
      <c r="E18" s="134"/>
      <c r="F18" s="138"/>
      <c r="G18" s="139"/>
      <c r="H18" s="136"/>
      <c r="I18" s="137"/>
      <c r="J18" s="108">
        <f t="shared" si="0"/>
        <v>0</v>
      </c>
      <c r="K18" s="103">
        <f t="shared" si="1"/>
        <v>0</v>
      </c>
      <c r="L18">
        <f t="shared" si="2"/>
        <v>0</v>
      </c>
      <c r="O18" s="112" t="s">
        <v>153</v>
      </c>
    </row>
    <row r="19" spans="1:15" x14ac:dyDescent="0.2">
      <c r="A19" s="103" t="s">
        <v>97</v>
      </c>
      <c r="B19" s="130"/>
      <c r="C19" s="131"/>
      <c r="D19" s="133"/>
      <c r="E19" s="134"/>
      <c r="F19" s="138"/>
      <c r="G19" s="139"/>
      <c r="H19" s="136"/>
      <c r="I19" s="137"/>
      <c r="J19" s="108">
        <f t="shared" si="0"/>
        <v>0</v>
      </c>
      <c r="K19" s="103">
        <f t="shared" si="1"/>
        <v>0</v>
      </c>
      <c r="L19">
        <f t="shared" si="2"/>
        <v>0</v>
      </c>
      <c r="O19" s="65"/>
    </row>
    <row r="20" spans="1:15" x14ac:dyDescent="0.2">
      <c r="A20" s="105" t="s">
        <v>134</v>
      </c>
      <c r="B20" s="130"/>
      <c r="C20" s="131"/>
      <c r="D20" s="133"/>
      <c r="E20" s="134"/>
      <c r="F20" s="138"/>
      <c r="G20" s="139"/>
      <c r="H20" s="136"/>
      <c r="I20" s="137"/>
      <c r="J20" s="108">
        <f t="shared" si="0"/>
        <v>0</v>
      </c>
      <c r="K20" s="103">
        <f t="shared" si="1"/>
        <v>0</v>
      </c>
      <c r="L20">
        <f t="shared" si="2"/>
        <v>0</v>
      </c>
      <c r="O20" s="65"/>
    </row>
    <row r="21" spans="1:15" x14ac:dyDescent="0.2">
      <c r="A21" s="103" t="s">
        <v>99</v>
      </c>
      <c r="B21" s="130"/>
      <c r="C21" s="131"/>
      <c r="D21" s="133"/>
      <c r="E21" s="134"/>
      <c r="F21" s="138"/>
      <c r="G21" s="139"/>
      <c r="H21" s="136"/>
      <c r="I21" s="137"/>
      <c r="J21" s="108">
        <f t="shared" si="0"/>
        <v>0</v>
      </c>
      <c r="K21" s="103">
        <f t="shared" si="1"/>
        <v>0</v>
      </c>
      <c r="L21">
        <f t="shared" si="2"/>
        <v>0</v>
      </c>
      <c r="O21" s="73" t="s">
        <v>98</v>
      </c>
    </row>
    <row r="22" spans="1:15" x14ac:dyDescent="0.2">
      <c r="A22" s="103" t="s">
        <v>122</v>
      </c>
      <c r="B22" s="130"/>
      <c r="C22" s="131"/>
      <c r="D22" s="133"/>
      <c r="E22" s="134"/>
      <c r="F22" s="138"/>
      <c r="G22" s="139"/>
      <c r="H22" s="136"/>
      <c r="I22" s="137"/>
      <c r="J22" s="108">
        <f t="shared" si="0"/>
        <v>0</v>
      </c>
      <c r="K22" s="103">
        <f t="shared" si="1"/>
        <v>0</v>
      </c>
      <c r="L22">
        <f t="shared" si="2"/>
        <v>0</v>
      </c>
      <c r="O22" s="73" t="s">
        <v>98</v>
      </c>
    </row>
    <row r="23" spans="1:15" x14ac:dyDescent="0.2">
      <c r="A23" s="103" t="s">
        <v>123</v>
      </c>
      <c r="B23" s="130"/>
      <c r="C23" s="131"/>
      <c r="D23" s="133"/>
      <c r="E23" s="134"/>
      <c r="F23" s="138"/>
      <c r="G23" s="139"/>
      <c r="H23" s="136"/>
      <c r="I23" s="137"/>
      <c r="J23" s="108">
        <f t="shared" si="0"/>
        <v>0</v>
      </c>
      <c r="K23" s="103">
        <f t="shared" si="1"/>
        <v>0</v>
      </c>
      <c r="L23">
        <f t="shared" si="2"/>
        <v>0</v>
      </c>
      <c r="O23" s="73" t="s">
        <v>104</v>
      </c>
    </row>
    <row r="24" spans="1:15" x14ac:dyDescent="0.2">
      <c r="A24" s="103" t="s">
        <v>95</v>
      </c>
      <c r="B24" s="130"/>
      <c r="C24" s="131"/>
      <c r="D24" s="133"/>
      <c r="E24" s="134"/>
      <c r="F24" s="138"/>
      <c r="G24" s="139"/>
      <c r="H24" s="136"/>
      <c r="I24" s="137"/>
      <c r="J24" s="108">
        <f t="shared" si="0"/>
        <v>0</v>
      </c>
      <c r="K24" s="103">
        <f t="shared" si="1"/>
        <v>0</v>
      </c>
      <c r="L24">
        <f t="shared" si="2"/>
        <v>0</v>
      </c>
      <c r="O24" s="73" t="s">
        <v>98</v>
      </c>
    </row>
    <row r="25" spans="1:15" x14ac:dyDescent="0.2">
      <c r="A25" s="103" t="s">
        <v>98</v>
      </c>
      <c r="B25" s="130"/>
      <c r="C25" s="131"/>
      <c r="D25" s="133"/>
      <c r="E25" s="134"/>
      <c r="F25" s="138"/>
      <c r="G25" s="139"/>
      <c r="H25" s="136"/>
      <c r="I25" s="137"/>
      <c r="J25" s="108">
        <f t="shared" si="0"/>
        <v>0</v>
      </c>
      <c r="K25" s="103">
        <f t="shared" si="1"/>
        <v>0</v>
      </c>
      <c r="L25">
        <f t="shared" si="2"/>
        <v>0</v>
      </c>
      <c r="O25" s="112" t="s">
        <v>99</v>
      </c>
    </row>
    <row r="26" spans="1:15" x14ac:dyDescent="0.2">
      <c r="A26" s="103" t="s">
        <v>124</v>
      </c>
      <c r="B26" s="130"/>
      <c r="C26" s="131"/>
      <c r="D26" s="133"/>
      <c r="E26" s="134"/>
      <c r="F26" s="138"/>
      <c r="G26" s="139"/>
      <c r="H26" s="136"/>
      <c r="I26" s="137"/>
      <c r="J26" s="108">
        <f t="shared" si="0"/>
        <v>0</v>
      </c>
      <c r="K26" s="103">
        <f t="shared" si="1"/>
        <v>0</v>
      </c>
      <c r="L26">
        <f t="shared" si="2"/>
        <v>0</v>
      </c>
      <c r="O26" s="73" t="s">
        <v>100</v>
      </c>
    </row>
    <row r="27" spans="1:15" x14ac:dyDescent="0.2">
      <c r="A27" s="103" t="s">
        <v>102</v>
      </c>
      <c r="B27" s="130"/>
      <c r="C27" s="131"/>
      <c r="D27" s="133"/>
      <c r="E27" s="134"/>
      <c r="F27" s="138"/>
      <c r="G27" s="139"/>
      <c r="H27" s="136"/>
      <c r="I27" s="137"/>
      <c r="J27" s="108">
        <f t="shared" si="0"/>
        <v>0</v>
      </c>
      <c r="K27" s="103">
        <f t="shared" si="1"/>
        <v>0</v>
      </c>
      <c r="L27">
        <f t="shared" si="2"/>
        <v>0</v>
      </c>
      <c r="O27" s="73" t="s">
        <v>100</v>
      </c>
    </row>
    <row r="28" spans="1:15" x14ac:dyDescent="0.2">
      <c r="A28" s="103" t="s">
        <v>96</v>
      </c>
      <c r="B28" s="130"/>
      <c r="C28" s="131"/>
      <c r="D28" s="133"/>
      <c r="E28" s="134"/>
      <c r="F28" s="138"/>
      <c r="G28" s="139"/>
      <c r="H28" s="136"/>
      <c r="I28" s="137"/>
      <c r="J28" s="108">
        <f t="shared" si="0"/>
        <v>0</v>
      </c>
      <c r="K28" s="103">
        <f t="shared" si="1"/>
        <v>0</v>
      </c>
      <c r="L28">
        <f t="shared" si="2"/>
        <v>0</v>
      </c>
      <c r="O28" s="73" t="s">
        <v>112</v>
      </c>
    </row>
    <row r="29" spans="1:15" x14ac:dyDescent="0.2">
      <c r="A29" s="103" t="s">
        <v>125</v>
      </c>
      <c r="B29" s="130"/>
      <c r="C29" s="131"/>
      <c r="D29" s="133"/>
      <c r="E29" s="134"/>
      <c r="F29" s="138"/>
      <c r="G29" s="139"/>
      <c r="H29" s="136"/>
      <c r="I29" s="137"/>
      <c r="J29" s="108">
        <f t="shared" si="0"/>
        <v>0</v>
      </c>
      <c r="K29" s="103">
        <f t="shared" si="1"/>
        <v>0</v>
      </c>
      <c r="L29">
        <f t="shared" si="2"/>
        <v>0</v>
      </c>
      <c r="O29" s="73" t="s">
        <v>101</v>
      </c>
    </row>
    <row r="30" spans="1:15" x14ac:dyDescent="0.2">
      <c r="O30" s="73" t="s">
        <v>97</v>
      </c>
    </row>
    <row r="31" spans="1:15" x14ac:dyDescent="0.2">
      <c r="O31" s="73" t="s">
        <v>96</v>
      </c>
    </row>
    <row r="32" spans="1:15" ht="13.5" thickBot="1" x14ac:dyDescent="0.25">
      <c r="O32" s="144" t="s">
        <v>116</v>
      </c>
    </row>
  </sheetData>
  <mergeCells count="5">
    <mergeCell ref="B1:C1"/>
    <mergeCell ref="D1:E1"/>
    <mergeCell ref="F1:G1"/>
    <mergeCell ref="H1:I1"/>
    <mergeCell ref="J1:K1"/>
  </mergeCells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3</vt:i4>
      </vt:variant>
    </vt:vector>
  </HeadingPairs>
  <TitlesOfParts>
    <vt:vector size="7" baseType="lpstr">
      <vt:lpstr>Calendário</vt:lpstr>
      <vt:lpstr>Testes-Exames</vt:lpstr>
      <vt:lpstr>estatuto</vt:lpstr>
      <vt:lpstr>docentes</vt:lpstr>
      <vt:lpstr>Calendário!Área_de_Impressão</vt:lpstr>
      <vt:lpstr>estatuto!Área_de_Impressão</vt:lpstr>
      <vt:lpstr>'Testes-Exames'!Área_de_Impressão</vt:lpstr>
    </vt:vector>
  </TitlesOfParts>
  <Company>Escola Superior de Tecnologia da UAlg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Semião</dc:creator>
  <cp:lastModifiedBy>lolivei</cp:lastModifiedBy>
  <cp:lastPrinted>2016-09-28T17:04:13Z</cp:lastPrinted>
  <dcterms:created xsi:type="dcterms:W3CDTF">2011-10-11T16:34:52Z</dcterms:created>
  <dcterms:modified xsi:type="dcterms:W3CDTF">2016-09-28T22:29:28Z</dcterms:modified>
</cp:coreProperties>
</file>